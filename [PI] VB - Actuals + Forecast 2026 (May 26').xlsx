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lidadpascual.sharepoint.com/sites/OpenInnovationTeam/Documentos compartidos/01 Venture Building/00 Financials/"/>
    </mc:Choice>
  </mc:AlternateContent>
  <xr:revisionPtr revIDLastSave="1080" documentId="8_{6C7E8659-8D40-431D-BB36-7D16D9A01218}" xr6:coauthVersionLast="47" xr6:coauthVersionMax="47" xr10:uidLastSave="{FE374EAD-BBEF-4B07-9FC1-776DB935A890}"/>
  <bookViews>
    <workbookView xWindow="-120" yWindow="-120" windowWidth="29040" windowHeight="15720" firstSheet="2" activeTab="7" xr2:uid="{B304E709-C797-417C-AFC8-2419AE4E84BC}"/>
  </bookViews>
  <sheets>
    <sheet name="BP 2026" sheetId="2" state="hidden" r:id="rId1"/>
    <sheet name="Template" sheetId="1" state="hidden" r:id="rId2"/>
    <sheet name="Andala" sheetId="8" r:id="rId3"/>
    <sheet name="Arandovo" sheetId="6" r:id="rId4"/>
    <sheet name="Mendrugo" sheetId="5" r:id="rId5"/>
    <sheet name="Mica" sheetId="7" r:id="rId6"/>
    <sheet name="Miia " sheetId="9" r:id="rId7"/>
    <sheet name="CONSOLIDADO" sheetId="10" r:id="rId8"/>
  </sheets>
  <externalReferences>
    <externalReference r:id="rId9"/>
  </externalReferences>
  <calcPr calcId="191028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21" i="10" l="1"/>
  <c r="O21" i="10"/>
  <c r="Q17" i="10"/>
  <c r="Q15" i="10"/>
  <c r="S24" i="10"/>
  <c r="U21" i="10"/>
  <c r="U20" i="10"/>
  <c r="U19" i="10"/>
  <c r="U17" i="10"/>
  <c r="O17" i="8"/>
  <c r="O19" i="8"/>
  <c r="O20" i="8"/>
  <c r="S19" i="6"/>
  <c r="S17" i="6"/>
  <c r="O20" i="6"/>
  <c r="O19" i="6"/>
  <c r="O15" i="6"/>
  <c r="O20" i="5"/>
  <c r="O17" i="5" s="1"/>
  <c r="O19" i="5"/>
  <c r="Q20" i="7"/>
  <c r="Q19" i="7"/>
  <c r="Q19" i="10" s="1"/>
  <c r="S19" i="10" s="1"/>
  <c r="O18" i="7"/>
  <c r="Q18" i="7"/>
  <c r="O17" i="7"/>
  <c r="O20" i="7"/>
  <c r="O19" i="7"/>
  <c r="O15" i="7"/>
  <c r="O13" i="7"/>
  <c r="Q21" i="7"/>
  <c r="O17" i="10"/>
  <c r="Q20" i="10"/>
  <c r="O19" i="10"/>
  <c r="N20" i="10"/>
  <c r="M20" i="10"/>
  <c r="L20" i="10"/>
  <c r="K20" i="10"/>
  <c r="J20" i="10"/>
  <c r="I20" i="10"/>
  <c r="H20" i="10"/>
  <c r="H17" i="10" s="1"/>
  <c r="H18" i="10" s="1"/>
  <c r="G20" i="10"/>
  <c r="G17" i="10" s="1"/>
  <c r="F20" i="10"/>
  <c r="E20" i="10"/>
  <c r="D20" i="10"/>
  <c r="N19" i="10"/>
  <c r="M19" i="10"/>
  <c r="L19" i="10"/>
  <c r="L17" i="10" s="1"/>
  <c r="L18" i="10" s="1"/>
  <c r="K19" i="10"/>
  <c r="K17" i="10" s="1"/>
  <c r="J19" i="10"/>
  <c r="J17" i="10" s="1"/>
  <c r="J18" i="10" s="1"/>
  <c r="I19" i="10"/>
  <c r="I17" i="10" s="1"/>
  <c r="H19" i="10"/>
  <c r="G19" i="10"/>
  <c r="F19" i="10"/>
  <c r="E19" i="10"/>
  <c r="D19" i="10"/>
  <c r="N17" i="10"/>
  <c r="N18" i="10" s="1"/>
  <c r="M17" i="10"/>
  <c r="F17" i="10"/>
  <c r="F18" i="10" s="1"/>
  <c r="E17" i="10"/>
  <c r="D17" i="10"/>
  <c r="D18" i="10" s="1"/>
  <c r="C20" i="10"/>
  <c r="C19" i="10"/>
  <c r="O15" i="10"/>
  <c r="Q16" i="10"/>
  <c r="C15" i="10"/>
  <c r="O13" i="5"/>
  <c r="U13" i="10" s="1"/>
  <c r="O10" i="5"/>
  <c r="O11" i="5"/>
  <c r="O13" i="9"/>
  <c r="Q13" i="10"/>
  <c r="S13" i="10"/>
  <c r="D13" i="10"/>
  <c r="E13" i="10"/>
  <c r="F13" i="10"/>
  <c r="G13" i="10"/>
  <c r="H13" i="10"/>
  <c r="I13" i="10"/>
  <c r="I15" i="10" s="1"/>
  <c r="I16" i="10" s="1"/>
  <c r="J13" i="10"/>
  <c r="K13" i="10"/>
  <c r="O13" i="10" s="1"/>
  <c r="L13" i="10"/>
  <c r="M13" i="10"/>
  <c r="N13" i="10"/>
  <c r="C13" i="10"/>
  <c r="U10" i="10"/>
  <c r="Q10" i="10"/>
  <c r="D10" i="10"/>
  <c r="D15" i="10" s="1"/>
  <c r="E10" i="10"/>
  <c r="F10" i="10"/>
  <c r="G10" i="10"/>
  <c r="H10" i="10"/>
  <c r="H11" i="10" s="1"/>
  <c r="H12" i="10" s="1"/>
  <c r="I10" i="10"/>
  <c r="I11" i="10" s="1"/>
  <c r="I12" i="10" s="1"/>
  <c r="J10" i="10"/>
  <c r="O10" i="10" s="1"/>
  <c r="S10" i="10" s="1"/>
  <c r="K10" i="10"/>
  <c r="L10" i="10"/>
  <c r="L15" i="10" s="1"/>
  <c r="M10" i="10"/>
  <c r="N10" i="10"/>
  <c r="C10" i="10"/>
  <c r="O8" i="6"/>
  <c r="U8" i="10" s="1"/>
  <c r="Q8" i="10"/>
  <c r="Q22" i="10" s="1"/>
  <c r="O8" i="10"/>
  <c r="D8" i="10"/>
  <c r="E8" i="10"/>
  <c r="F9" i="10" s="1"/>
  <c r="F8" i="10"/>
  <c r="G8" i="10"/>
  <c r="G33" i="10" s="1"/>
  <c r="G45" i="10" s="1"/>
  <c r="H8" i="10"/>
  <c r="I8" i="10"/>
  <c r="J8" i="10"/>
  <c r="J33" i="10" s="1"/>
  <c r="J45" i="10" s="1"/>
  <c r="K8" i="10"/>
  <c r="L9" i="10" s="1"/>
  <c r="L8" i="10"/>
  <c r="M8" i="10"/>
  <c r="N9" i="10" s="1"/>
  <c r="N8" i="10"/>
  <c r="C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Q43" i="10"/>
  <c r="Q45" i="10" s="1"/>
  <c r="K43" i="10"/>
  <c r="J43" i="10"/>
  <c r="I43" i="10"/>
  <c r="C43" i="10"/>
  <c r="N37" i="10"/>
  <c r="N43" i="10" s="1"/>
  <c r="M37" i="10"/>
  <c r="M43" i="10" s="1"/>
  <c r="L37" i="10"/>
  <c r="L43" i="10" s="1"/>
  <c r="K37" i="10"/>
  <c r="J37" i="10"/>
  <c r="I37" i="10"/>
  <c r="H37" i="10"/>
  <c r="H43" i="10" s="1"/>
  <c r="H45" i="10" s="1"/>
  <c r="G37" i="10"/>
  <c r="G43" i="10" s="1"/>
  <c r="F37" i="10"/>
  <c r="F43" i="10" s="1"/>
  <c r="E37" i="10"/>
  <c r="E43" i="10" s="1"/>
  <c r="E45" i="10" s="1"/>
  <c r="D37" i="10"/>
  <c r="D43" i="10" s="1"/>
  <c r="D45" i="10" s="1"/>
  <c r="C37" i="10"/>
  <c r="N33" i="10"/>
  <c r="N45" i="10" s="1"/>
  <c r="M33" i="10"/>
  <c r="L33" i="10"/>
  <c r="I33" i="10"/>
  <c r="I45" i="10" s="1"/>
  <c r="H33" i="10"/>
  <c r="F33" i="10"/>
  <c r="F45" i="10" s="1"/>
  <c r="E33" i="10"/>
  <c r="D33" i="10"/>
  <c r="C33" i="10"/>
  <c r="C45" i="10" s="1"/>
  <c r="N30" i="10"/>
  <c r="M30" i="10"/>
  <c r="L30" i="10"/>
  <c r="K30" i="10"/>
  <c r="J30" i="10"/>
  <c r="I30" i="10"/>
  <c r="H30" i="10"/>
  <c r="G30" i="10"/>
  <c r="F30" i="10"/>
  <c r="E30" i="10"/>
  <c r="D30" i="10"/>
  <c r="C30" i="10"/>
  <c r="O28" i="10"/>
  <c r="S28" i="10" s="1"/>
  <c r="N28" i="10"/>
  <c r="M28" i="10"/>
  <c r="L28" i="10"/>
  <c r="K28" i="10"/>
  <c r="J28" i="10"/>
  <c r="I28" i="10"/>
  <c r="H28" i="10"/>
  <c r="G28" i="10"/>
  <c r="F28" i="10"/>
  <c r="E28" i="10"/>
  <c r="D28" i="10"/>
  <c r="C28" i="10"/>
  <c r="S27" i="10"/>
  <c r="S26" i="10"/>
  <c r="S23" i="10"/>
  <c r="N15" i="10"/>
  <c r="N16" i="10" s="1"/>
  <c r="M15" i="10"/>
  <c r="M16" i="10" s="1"/>
  <c r="H15" i="10"/>
  <c r="F15" i="10"/>
  <c r="F16" i="10" s="1"/>
  <c r="E15" i="10"/>
  <c r="E16" i="10" s="1"/>
  <c r="N11" i="10"/>
  <c r="N12" i="10" s="1"/>
  <c r="M11" i="10"/>
  <c r="M12" i="10" s="1"/>
  <c r="L11" i="10"/>
  <c r="L12" i="10" s="1"/>
  <c r="F11" i="10"/>
  <c r="F12" i="10" s="1"/>
  <c r="E11" i="10"/>
  <c r="E12" i="10" s="1"/>
  <c r="K9" i="10"/>
  <c r="J9" i="10"/>
  <c r="I9" i="10"/>
  <c r="E9" i="10"/>
  <c r="D9" i="10"/>
  <c r="C9" i="10"/>
  <c r="N52" i="9"/>
  <c r="M52" i="9"/>
  <c r="L52" i="9"/>
  <c r="K52" i="9"/>
  <c r="J52" i="9"/>
  <c r="I52" i="9"/>
  <c r="H52" i="9"/>
  <c r="G52" i="9"/>
  <c r="F52" i="9"/>
  <c r="E52" i="9"/>
  <c r="D52" i="9"/>
  <c r="C52" i="9"/>
  <c r="N51" i="9"/>
  <c r="M51" i="9"/>
  <c r="L51" i="9"/>
  <c r="K51" i="9"/>
  <c r="J51" i="9"/>
  <c r="I51" i="9"/>
  <c r="H51" i="9"/>
  <c r="G51" i="9"/>
  <c r="F51" i="9"/>
  <c r="E51" i="9"/>
  <c r="D51" i="9"/>
  <c r="C51" i="9"/>
  <c r="N48" i="9"/>
  <c r="M48" i="9"/>
  <c r="L48" i="9"/>
  <c r="K48" i="9"/>
  <c r="J48" i="9"/>
  <c r="I48" i="9"/>
  <c r="H48" i="9"/>
  <c r="G48" i="9"/>
  <c r="F48" i="9"/>
  <c r="E48" i="9"/>
  <c r="D48" i="9"/>
  <c r="C48" i="9"/>
  <c r="G44" i="9"/>
  <c r="F44" i="9"/>
  <c r="E44" i="9"/>
  <c r="D44" i="9"/>
  <c r="C44" i="9"/>
  <c r="J43" i="9"/>
  <c r="I43" i="9"/>
  <c r="H43" i="9"/>
  <c r="Q42" i="9"/>
  <c r="Q43" i="9" s="1"/>
  <c r="Q45" i="9" s="1"/>
  <c r="G42" i="9"/>
  <c r="F42" i="9"/>
  <c r="E42" i="9"/>
  <c r="D42" i="9"/>
  <c r="C42" i="9"/>
  <c r="Q41" i="9"/>
  <c r="Q40" i="9"/>
  <c r="G40" i="9"/>
  <c r="F40" i="9"/>
  <c r="E40" i="9"/>
  <c r="D40" i="9"/>
  <c r="C40" i="9"/>
  <c r="Q39" i="9"/>
  <c r="G39" i="9"/>
  <c r="F39" i="9"/>
  <c r="E39" i="9"/>
  <c r="D39" i="9"/>
  <c r="C39" i="9"/>
  <c r="Q38" i="9"/>
  <c r="G38" i="9"/>
  <c r="F38" i="9"/>
  <c r="F37" i="9" s="1"/>
  <c r="E38" i="9"/>
  <c r="D38" i="9"/>
  <c r="C38" i="9"/>
  <c r="Q37" i="9"/>
  <c r="N37" i="9"/>
  <c r="N43" i="9" s="1"/>
  <c r="M37" i="9"/>
  <c r="M43" i="9" s="1"/>
  <c r="L37" i="9"/>
  <c r="L43" i="9" s="1"/>
  <c r="K37" i="9"/>
  <c r="K43" i="9" s="1"/>
  <c r="J37" i="9"/>
  <c r="I37" i="9"/>
  <c r="H37" i="9"/>
  <c r="G36" i="9"/>
  <c r="F36" i="9"/>
  <c r="E36" i="9"/>
  <c r="D36" i="9"/>
  <c r="C36" i="9"/>
  <c r="G35" i="9"/>
  <c r="F35" i="9"/>
  <c r="E35" i="9"/>
  <c r="D35" i="9"/>
  <c r="C35" i="9"/>
  <c r="C34" i="9"/>
  <c r="Q33" i="9"/>
  <c r="N33" i="9"/>
  <c r="M33" i="9"/>
  <c r="L33" i="9"/>
  <c r="K33" i="9"/>
  <c r="J33" i="9"/>
  <c r="I33" i="9"/>
  <c r="H33" i="9"/>
  <c r="N30" i="9"/>
  <c r="M30" i="9"/>
  <c r="L30" i="9"/>
  <c r="K30" i="9"/>
  <c r="J30" i="9"/>
  <c r="I30" i="9"/>
  <c r="H30" i="9"/>
  <c r="G30" i="9"/>
  <c r="F30" i="9"/>
  <c r="E30" i="9"/>
  <c r="D30" i="9"/>
  <c r="C30" i="9"/>
  <c r="S27" i="9"/>
  <c r="S26" i="9"/>
  <c r="Q23" i="9"/>
  <c r="N23" i="9"/>
  <c r="M23" i="9"/>
  <c r="L23" i="9"/>
  <c r="K23" i="9"/>
  <c r="J23" i="9"/>
  <c r="I23" i="9"/>
  <c r="H23" i="9"/>
  <c r="G23" i="9"/>
  <c r="F23" i="9"/>
  <c r="E23" i="9"/>
  <c r="D23" i="9"/>
  <c r="C23" i="9"/>
  <c r="Q20" i="9"/>
  <c r="Q17" i="9" s="1"/>
  <c r="N20" i="9"/>
  <c r="M20" i="9"/>
  <c r="L20" i="9"/>
  <c r="K20" i="9"/>
  <c r="J20" i="9"/>
  <c r="I20" i="9"/>
  <c r="H20" i="9"/>
  <c r="G20" i="9"/>
  <c r="F20" i="9"/>
  <c r="E20" i="9"/>
  <c r="D20" i="9"/>
  <c r="C20" i="9"/>
  <c r="Q19" i="9"/>
  <c r="N19" i="9"/>
  <c r="M19" i="9"/>
  <c r="L19" i="9"/>
  <c r="K19" i="9"/>
  <c r="J19" i="9"/>
  <c r="J17" i="9" s="1"/>
  <c r="J18" i="9" s="1"/>
  <c r="I19" i="9"/>
  <c r="H19" i="9"/>
  <c r="G19" i="9"/>
  <c r="F19" i="9"/>
  <c r="E19" i="9"/>
  <c r="D19" i="9"/>
  <c r="C19" i="9"/>
  <c r="K17" i="9"/>
  <c r="O14" i="9"/>
  <c r="Q13" i="9"/>
  <c r="N13" i="9"/>
  <c r="M13" i="9"/>
  <c r="L13" i="9"/>
  <c r="K13" i="9"/>
  <c r="J13" i="9"/>
  <c r="I13" i="9"/>
  <c r="H13" i="9"/>
  <c r="G13" i="9"/>
  <c r="F13" i="9"/>
  <c r="E13" i="9"/>
  <c r="D13" i="9"/>
  <c r="C13" i="9"/>
  <c r="Q10" i="9"/>
  <c r="N10" i="9"/>
  <c r="M10" i="9"/>
  <c r="L10" i="9"/>
  <c r="K10" i="9"/>
  <c r="J10" i="9"/>
  <c r="I10" i="9"/>
  <c r="H10" i="9"/>
  <c r="G10" i="9"/>
  <c r="F10" i="9"/>
  <c r="E10" i="9"/>
  <c r="D10" i="9"/>
  <c r="C10" i="9"/>
  <c r="Q8" i="9"/>
  <c r="N8" i="9"/>
  <c r="M8" i="9"/>
  <c r="L8" i="9"/>
  <c r="K8" i="9"/>
  <c r="J8" i="9"/>
  <c r="I8" i="9"/>
  <c r="H8" i="9"/>
  <c r="G8" i="9"/>
  <c r="F8" i="9"/>
  <c r="E8" i="9"/>
  <c r="D8" i="9"/>
  <c r="C8" i="9"/>
  <c r="G55" i="7"/>
  <c r="F55" i="7"/>
  <c r="E55" i="7"/>
  <c r="D55" i="7"/>
  <c r="G58" i="7"/>
  <c r="F58" i="7"/>
  <c r="E58" i="7"/>
  <c r="D58" i="7"/>
  <c r="E52" i="7"/>
  <c r="F52" i="7"/>
  <c r="G52" i="7"/>
  <c r="D52" i="7"/>
  <c r="F48" i="7"/>
  <c r="Q24" i="8"/>
  <c r="Q21" i="8"/>
  <c r="Q17" i="8"/>
  <c r="C17" i="8"/>
  <c r="C15" i="6"/>
  <c r="F11" i="8"/>
  <c r="C11" i="8"/>
  <c r="D11" i="8"/>
  <c r="N48" i="8"/>
  <c r="M48" i="8"/>
  <c r="L48" i="8"/>
  <c r="K48" i="8"/>
  <c r="J48" i="8"/>
  <c r="I48" i="8"/>
  <c r="H48" i="8"/>
  <c r="G48" i="8"/>
  <c r="F48" i="8"/>
  <c r="E48" i="8"/>
  <c r="D48" i="8"/>
  <c r="C48" i="8"/>
  <c r="Q43" i="8"/>
  <c r="Q45" i="8" s="1"/>
  <c r="N37" i="8"/>
  <c r="N43" i="8" s="1"/>
  <c r="M37" i="8"/>
  <c r="M43" i="8" s="1"/>
  <c r="L37" i="8"/>
  <c r="L43" i="8" s="1"/>
  <c r="K37" i="8"/>
  <c r="K43" i="8" s="1"/>
  <c r="J37" i="8"/>
  <c r="J43" i="8" s="1"/>
  <c r="I37" i="8"/>
  <c r="I43" i="8" s="1"/>
  <c r="H37" i="8"/>
  <c r="H43" i="8" s="1"/>
  <c r="G37" i="8"/>
  <c r="G43" i="8" s="1"/>
  <c r="F37" i="8"/>
  <c r="F43" i="8" s="1"/>
  <c r="E37" i="8"/>
  <c r="E43" i="8" s="1"/>
  <c r="D37" i="8"/>
  <c r="D43" i="8" s="1"/>
  <c r="C37" i="8"/>
  <c r="C43" i="8" s="1"/>
  <c r="N33" i="8"/>
  <c r="N45" i="8" s="1"/>
  <c r="M33" i="8"/>
  <c r="M45" i="8" s="1"/>
  <c r="L33" i="8"/>
  <c r="L45" i="8" s="1"/>
  <c r="K33" i="8"/>
  <c r="K45" i="8" s="1"/>
  <c r="J33" i="8"/>
  <c r="J45" i="8" s="1"/>
  <c r="I33" i="8"/>
  <c r="I45" i="8" s="1"/>
  <c r="H33" i="8"/>
  <c r="H45" i="8" s="1"/>
  <c r="G33" i="8"/>
  <c r="G45" i="8" s="1"/>
  <c r="F33" i="8"/>
  <c r="F45" i="8" s="1"/>
  <c r="E33" i="8"/>
  <c r="E45" i="8" s="1"/>
  <c r="D33" i="8"/>
  <c r="D45" i="8" s="1"/>
  <c r="C33" i="8"/>
  <c r="C45" i="8" s="1"/>
  <c r="N30" i="8"/>
  <c r="M30" i="8"/>
  <c r="L30" i="8"/>
  <c r="K30" i="8"/>
  <c r="J30" i="8"/>
  <c r="I30" i="8"/>
  <c r="H30" i="8"/>
  <c r="G30" i="8"/>
  <c r="F30" i="8"/>
  <c r="E30" i="8"/>
  <c r="D30" i="8"/>
  <c r="C30" i="8"/>
  <c r="O28" i="8"/>
  <c r="S28" i="8" s="1"/>
  <c r="N28" i="8"/>
  <c r="M28" i="8"/>
  <c r="L28" i="8"/>
  <c r="K28" i="8"/>
  <c r="J28" i="8"/>
  <c r="I28" i="8"/>
  <c r="H28" i="8"/>
  <c r="G28" i="8"/>
  <c r="F28" i="8"/>
  <c r="E28" i="8"/>
  <c r="D28" i="8"/>
  <c r="C28" i="8"/>
  <c r="S27" i="8"/>
  <c r="S26" i="8"/>
  <c r="S23" i="8"/>
  <c r="Q22" i="8"/>
  <c r="S20" i="8"/>
  <c r="N17" i="8"/>
  <c r="N18" i="8" s="1"/>
  <c r="M17" i="8"/>
  <c r="M18" i="8" s="1"/>
  <c r="L17" i="8"/>
  <c r="L18" i="8" s="1"/>
  <c r="K17" i="8"/>
  <c r="K18" i="8" s="1"/>
  <c r="J17" i="8"/>
  <c r="J18" i="8" s="1"/>
  <c r="I17" i="8"/>
  <c r="I18" i="8" s="1"/>
  <c r="H17" i="8"/>
  <c r="H18" i="8" s="1"/>
  <c r="G17" i="8"/>
  <c r="G18" i="8" s="1"/>
  <c r="F17" i="8"/>
  <c r="F18" i="8" s="1"/>
  <c r="E17" i="8"/>
  <c r="E18" i="8" s="1"/>
  <c r="D17" i="8"/>
  <c r="D18" i="8" s="1"/>
  <c r="C18" i="8"/>
  <c r="Q15" i="8"/>
  <c r="Q16" i="8" s="1"/>
  <c r="N15" i="8"/>
  <c r="M15" i="8"/>
  <c r="L15" i="8"/>
  <c r="K15" i="8"/>
  <c r="J15" i="8"/>
  <c r="I15" i="8"/>
  <c r="H15" i="8"/>
  <c r="G15" i="8"/>
  <c r="F15" i="8"/>
  <c r="E15" i="8"/>
  <c r="D15" i="8"/>
  <c r="C15" i="8"/>
  <c r="O14" i="8"/>
  <c r="O13" i="8"/>
  <c r="S13" i="8" s="1"/>
  <c r="Q11" i="8"/>
  <c r="Q12" i="8" s="1"/>
  <c r="N11" i="8"/>
  <c r="N12" i="8" s="1"/>
  <c r="M11" i="8"/>
  <c r="M12" i="8" s="1"/>
  <c r="L11" i="8"/>
  <c r="L12" i="8" s="1"/>
  <c r="K11" i="8"/>
  <c r="K12" i="8" s="1"/>
  <c r="J11" i="8"/>
  <c r="J12" i="8" s="1"/>
  <c r="I11" i="8"/>
  <c r="I12" i="8" s="1"/>
  <c r="H11" i="8"/>
  <c r="H12" i="8" s="1"/>
  <c r="G11" i="8"/>
  <c r="G12" i="8" s="1"/>
  <c r="F12" i="8"/>
  <c r="E11" i="8"/>
  <c r="E12" i="8" s="1"/>
  <c r="D12" i="8"/>
  <c r="C12" i="8"/>
  <c r="O10" i="8"/>
  <c r="S10" i="8" s="1"/>
  <c r="N9" i="8"/>
  <c r="M9" i="8"/>
  <c r="L9" i="8"/>
  <c r="K9" i="8"/>
  <c r="J9" i="8"/>
  <c r="I9" i="8"/>
  <c r="H9" i="8"/>
  <c r="G9" i="8"/>
  <c r="F9" i="8"/>
  <c r="E9" i="8"/>
  <c r="D9" i="8"/>
  <c r="C9" i="8"/>
  <c r="O8" i="8"/>
  <c r="O51" i="6"/>
  <c r="E52" i="6"/>
  <c r="F52" i="6"/>
  <c r="G52" i="6"/>
  <c r="H52" i="6"/>
  <c r="I52" i="6"/>
  <c r="J52" i="6"/>
  <c r="K52" i="6"/>
  <c r="L52" i="6"/>
  <c r="M52" i="6"/>
  <c r="N52" i="6"/>
  <c r="D52" i="6"/>
  <c r="C52" i="6"/>
  <c r="Q17" i="7"/>
  <c r="Q13" i="7"/>
  <c r="C17" i="7"/>
  <c r="D17" i="7"/>
  <c r="E17" i="7"/>
  <c r="F17" i="7"/>
  <c r="G17" i="7"/>
  <c r="H17" i="7"/>
  <c r="I17" i="7"/>
  <c r="J17" i="7"/>
  <c r="K17" i="7"/>
  <c r="L17" i="7"/>
  <c r="M17" i="7"/>
  <c r="N17" i="7"/>
  <c r="O8" i="7"/>
  <c r="C48" i="7"/>
  <c r="D48" i="7"/>
  <c r="E48" i="7"/>
  <c r="H48" i="7"/>
  <c r="I48" i="7"/>
  <c r="J48" i="7"/>
  <c r="K48" i="7"/>
  <c r="L48" i="7"/>
  <c r="M48" i="7"/>
  <c r="N48" i="7"/>
  <c r="C30" i="7"/>
  <c r="D30" i="7"/>
  <c r="E30" i="7"/>
  <c r="F30" i="7"/>
  <c r="G30" i="7"/>
  <c r="H30" i="7"/>
  <c r="I30" i="7"/>
  <c r="J30" i="7"/>
  <c r="K30" i="7"/>
  <c r="L30" i="7"/>
  <c r="M30" i="7"/>
  <c r="N30" i="7"/>
  <c r="C33" i="7"/>
  <c r="D33" i="7"/>
  <c r="E33" i="7"/>
  <c r="Q33" i="7"/>
  <c r="C37" i="7"/>
  <c r="D37" i="7"/>
  <c r="E37" i="7"/>
  <c r="F37" i="7"/>
  <c r="G37" i="7"/>
  <c r="H37" i="7"/>
  <c r="I37" i="7"/>
  <c r="J37" i="7"/>
  <c r="K37" i="7"/>
  <c r="L37" i="7"/>
  <c r="M37" i="7"/>
  <c r="N37" i="7"/>
  <c r="Q37" i="7"/>
  <c r="C42" i="7"/>
  <c r="C43" i="7" s="1"/>
  <c r="C45" i="7" s="1"/>
  <c r="D42" i="7"/>
  <c r="D43" i="7" s="1"/>
  <c r="D45" i="7" s="1"/>
  <c r="E42" i="7"/>
  <c r="E43" i="7" s="1"/>
  <c r="E45" i="7" s="1"/>
  <c r="Q42" i="7"/>
  <c r="F43" i="7"/>
  <c r="G43" i="7"/>
  <c r="H43" i="7"/>
  <c r="I43" i="7"/>
  <c r="J43" i="7"/>
  <c r="K43" i="7"/>
  <c r="L43" i="7"/>
  <c r="M43" i="7"/>
  <c r="N43" i="7"/>
  <c r="Q43" i="7"/>
  <c r="F45" i="7"/>
  <c r="G45" i="7"/>
  <c r="H45" i="7"/>
  <c r="I45" i="7"/>
  <c r="J45" i="7"/>
  <c r="K45" i="7"/>
  <c r="L45" i="7"/>
  <c r="M45" i="7"/>
  <c r="N45" i="7"/>
  <c r="S8" i="7"/>
  <c r="C9" i="7"/>
  <c r="D9" i="7"/>
  <c r="E9" i="7"/>
  <c r="F9" i="7"/>
  <c r="G9" i="7"/>
  <c r="H9" i="7"/>
  <c r="I9" i="7"/>
  <c r="J9" i="7"/>
  <c r="K9" i="7"/>
  <c r="L9" i="7"/>
  <c r="M9" i="7"/>
  <c r="N9" i="7"/>
  <c r="O10" i="7"/>
  <c r="S10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Q11" i="7"/>
  <c r="S11" i="7"/>
  <c r="C12" i="7"/>
  <c r="D12" i="7"/>
  <c r="E12" i="7"/>
  <c r="F12" i="7"/>
  <c r="G12" i="7"/>
  <c r="H12" i="7"/>
  <c r="I12" i="7"/>
  <c r="J12" i="7"/>
  <c r="K12" i="7"/>
  <c r="L12" i="7"/>
  <c r="M12" i="7"/>
  <c r="N12" i="7"/>
  <c r="O12" i="7"/>
  <c r="Q12" i="7"/>
  <c r="S13" i="7"/>
  <c r="O14" i="7"/>
  <c r="C15" i="7"/>
  <c r="D15" i="7"/>
  <c r="E15" i="7"/>
  <c r="F15" i="7"/>
  <c r="G15" i="7"/>
  <c r="H15" i="7"/>
  <c r="I15" i="7"/>
  <c r="J15" i="7"/>
  <c r="K15" i="7"/>
  <c r="L15" i="7"/>
  <c r="M15" i="7"/>
  <c r="N15" i="7"/>
  <c r="S15" i="7"/>
  <c r="Q15" i="7"/>
  <c r="C16" i="7"/>
  <c r="D16" i="7"/>
  <c r="E16" i="7"/>
  <c r="F16" i="7"/>
  <c r="G16" i="7"/>
  <c r="H16" i="7"/>
  <c r="I16" i="7"/>
  <c r="J16" i="7"/>
  <c r="K16" i="7"/>
  <c r="L16" i="7"/>
  <c r="M16" i="7"/>
  <c r="N16" i="7"/>
  <c r="Q16" i="7"/>
  <c r="C18" i="7"/>
  <c r="D18" i="7"/>
  <c r="E18" i="7"/>
  <c r="F18" i="7"/>
  <c r="G18" i="7"/>
  <c r="H18" i="7"/>
  <c r="I18" i="7"/>
  <c r="J18" i="7"/>
  <c r="K18" i="7"/>
  <c r="L18" i="7"/>
  <c r="M18" i="7"/>
  <c r="N18" i="7"/>
  <c r="C21" i="7"/>
  <c r="D21" i="7"/>
  <c r="E21" i="7"/>
  <c r="F21" i="7"/>
  <c r="G21" i="7"/>
  <c r="H21" i="7"/>
  <c r="I21" i="7"/>
  <c r="J21" i="7"/>
  <c r="K21" i="7"/>
  <c r="L21" i="7"/>
  <c r="M21" i="7"/>
  <c r="N21" i="7"/>
  <c r="C22" i="7"/>
  <c r="D22" i="7"/>
  <c r="E22" i="7"/>
  <c r="F22" i="7"/>
  <c r="G22" i="7"/>
  <c r="H22" i="7"/>
  <c r="I22" i="7"/>
  <c r="J22" i="7"/>
  <c r="K22" i="7"/>
  <c r="L22" i="7"/>
  <c r="M22" i="7"/>
  <c r="N22" i="7"/>
  <c r="Q22" i="7"/>
  <c r="C23" i="7"/>
  <c r="D23" i="7"/>
  <c r="E23" i="7"/>
  <c r="E24" i="7" s="1"/>
  <c r="F23" i="7"/>
  <c r="G23" i="7"/>
  <c r="H23" i="7"/>
  <c r="I23" i="7"/>
  <c r="I24" i="7" s="1"/>
  <c r="J23" i="7"/>
  <c r="K23" i="7"/>
  <c r="L23" i="7"/>
  <c r="M23" i="7"/>
  <c r="M24" i="7" s="1"/>
  <c r="N23" i="7"/>
  <c r="O23" i="7"/>
  <c r="Q23" i="7"/>
  <c r="S23" i="7"/>
  <c r="C24" i="7"/>
  <c r="C28" i="7" s="1"/>
  <c r="D24" i="7"/>
  <c r="D25" i="7" s="1"/>
  <c r="F24" i="7"/>
  <c r="F28" i="7" s="1"/>
  <c r="G24" i="7"/>
  <c r="G28" i="7" s="1"/>
  <c r="H24" i="7"/>
  <c r="H25" i="7" s="1"/>
  <c r="J24" i="7"/>
  <c r="J25" i="7" s="1"/>
  <c r="K24" i="7"/>
  <c r="K28" i="7" s="1"/>
  <c r="L24" i="7"/>
  <c r="L25" i="7" s="1"/>
  <c r="N24" i="7"/>
  <c r="N28" i="7" s="1"/>
  <c r="Q24" i="7"/>
  <c r="C25" i="7"/>
  <c r="G25" i="7"/>
  <c r="K25" i="7"/>
  <c r="S26" i="7"/>
  <c r="S27" i="7"/>
  <c r="D28" i="7"/>
  <c r="H28" i="7"/>
  <c r="J28" i="7"/>
  <c r="L28" i="7"/>
  <c r="Q28" i="7"/>
  <c r="G20" i="5"/>
  <c r="G18" i="5"/>
  <c r="S8" i="6"/>
  <c r="C9" i="6"/>
  <c r="D9" i="6"/>
  <c r="E9" i="6"/>
  <c r="F9" i="6"/>
  <c r="G9" i="6"/>
  <c r="H9" i="6"/>
  <c r="I9" i="6"/>
  <c r="J9" i="6"/>
  <c r="K9" i="6"/>
  <c r="L9" i="6"/>
  <c r="M9" i="6"/>
  <c r="N9" i="6"/>
  <c r="O10" i="6"/>
  <c r="S10" i="6"/>
  <c r="C11" i="6"/>
  <c r="D11" i="6"/>
  <c r="E11" i="6"/>
  <c r="F11" i="6"/>
  <c r="G11" i="6"/>
  <c r="H11" i="6"/>
  <c r="I11" i="6"/>
  <c r="J11" i="6"/>
  <c r="K11" i="6"/>
  <c r="L11" i="6"/>
  <c r="M11" i="6"/>
  <c r="N11" i="6"/>
  <c r="O11" i="6"/>
  <c r="S11" i="6" s="1"/>
  <c r="C12" i="6"/>
  <c r="D12" i="6"/>
  <c r="E12" i="6"/>
  <c r="F12" i="6"/>
  <c r="G12" i="6"/>
  <c r="H12" i="6"/>
  <c r="I12" i="6"/>
  <c r="J12" i="6"/>
  <c r="K12" i="6"/>
  <c r="L12" i="6"/>
  <c r="M12" i="6"/>
  <c r="N12" i="6"/>
  <c r="O12" i="6"/>
  <c r="O13" i="6"/>
  <c r="S13" i="6"/>
  <c r="D15" i="6"/>
  <c r="E15" i="6"/>
  <c r="F15" i="6"/>
  <c r="G15" i="6"/>
  <c r="H15" i="6"/>
  <c r="I15" i="6"/>
  <c r="J15" i="6"/>
  <c r="K15" i="6"/>
  <c r="L15" i="6"/>
  <c r="M15" i="6"/>
  <c r="N15" i="6"/>
  <c r="O16" i="6"/>
  <c r="S15" i="6"/>
  <c r="C16" i="6"/>
  <c r="D16" i="6"/>
  <c r="E16" i="6"/>
  <c r="F16" i="6"/>
  <c r="G16" i="6"/>
  <c r="H16" i="6"/>
  <c r="I16" i="6"/>
  <c r="J16" i="6"/>
  <c r="K16" i="6"/>
  <c r="L16" i="6"/>
  <c r="M16" i="6"/>
  <c r="N16" i="6"/>
  <c r="S20" i="6"/>
  <c r="O23" i="6"/>
  <c r="S23" i="6"/>
  <c r="O26" i="6"/>
  <c r="S26" i="6"/>
  <c r="O27" i="6"/>
  <c r="S27" i="6"/>
  <c r="F48" i="5"/>
  <c r="F20" i="5"/>
  <c r="E20" i="5"/>
  <c r="D20" i="5"/>
  <c r="D9" i="5"/>
  <c r="C20" i="5"/>
  <c r="N17" i="6"/>
  <c r="M17" i="6"/>
  <c r="L17" i="6"/>
  <c r="K17" i="6"/>
  <c r="J17" i="6"/>
  <c r="I17" i="6"/>
  <c r="H17" i="6"/>
  <c r="G17" i="6"/>
  <c r="F17" i="6"/>
  <c r="E17" i="6"/>
  <c r="D17" i="6"/>
  <c r="C17" i="6"/>
  <c r="C48" i="5"/>
  <c r="D48" i="5"/>
  <c r="E48" i="5"/>
  <c r="G48" i="5"/>
  <c r="H48" i="5"/>
  <c r="I48" i="5"/>
  <c r="J48" i="5"/>
  <c r="K48" i="5"/>
  <c r="L48" i="5"/>
  <c r="M48" i="5"/>
  <c r="N48" i="5"/>
  <c r="C30" i="5"/>
  <c r="D30" i="5"/>
  <c r="E30" i="5"/>
  <c r="F30" i="5"/>
  <c r="G30" i="5"/>
  <c r="H30" i="5"/>
  <c r="I30" i="5"/>
  <c r="J30" i="5"/>
  <c r="K30" i="5"/>
  <c r="L30" i="5"/>
  <c r="M30" i="5"/>
  <c r="N30" i="5"/>
  <c r="D36" i="5"/>
  <c r="F37" i="5"/>
  <c r="G37" i="5"/>
  <c r="H37" i="5"/>
  <c r="I37" i="5"/>
  <c r="J37" i="5"/>
  <c r="K37" i="5"/>
  <c r="L37" i="5"/>
  <c r="M37" i="5"/>
  <c r="N37" i="5"/>
  <c r="F43" i="5"/>
  <c r="G43" i="5"/>
  <c r="H43" i="5"/>
  <c r="I43" i="5"/>
  <c r="J43" i="5"/>
  <c r="K43" i="5"/>
  <c r="L43" i="5"/>
  <c r="M43" i="5"/>
  <c r="N43" i="5"/>
  <c r="Q43" i="5"/>
  <c r="D44" i="5"/>
  <c r="E44" i="5"/>
  <c r="F44" i="5"/>
  <c r="G44" i="5"/>
  <c r="H44" i="5"/>
  <c r="I44" i="5"/>
  <c r="I45" i="5" s="1"/>
  <c r="J44" i="5"/>
  <c r="K44" i="5"/>
  <c r="K45" i="5" s="1"/>
  <c r="L44" i="5"/>
  <c r="M44" i="5"/>
  <c r="M45" i="5" s="1"/>
  <c r="N44" i="5"/>
  <c r="Q45" i="5"/>
  <c r="F33" i="5"/>
  <c r="G33" i="5"/>
  <c r="H33" i="5"/>
  <c r="I33" i="5"/>
  <c r="J33" i="5"/>
  <c r="J45" i="5"/>
  <c r="K33" i="5"/>
  <c r="L33" i="5"/>
  <c r="L45" i="5"/>
  <c r="M33" i="5"/>
  <c r="N33" i="5"/>
  <c r="O8" i="5"/>
  <c r="S8" i="5"/>
  <c r="C9" i="5"/>
  <c r="E9" i="5"/>
  <c r="F9" i="5"/>
  <c r="G9" i="5"/>
  <c r="H9" i="5"/>
  <c r="I9" i="5"/>
  <c r="J9" i="5"/>
  <c r="K9" i="5"/>
  <c r="L9" i="5"/>
  <c r="M9" i="5"/>
  <c r="N9" i="5"/>
  <c r="S10" i="5"/>
  <c r="C11" i="5"/>
  <c r="C12" i="5"/>
  <c r="D11" i="5"/>
  <c r="D12" i="5"/>
  <c r="E11" i="5"/>
  <c r="E12" i="5"/>
  <c r="F11" i="5"/>
  <c r="G11" i="5"/>
  <c r="H11" i="5"/>
  <c r="I11" i="5"/>
  <c r="J11" i="5"/>
  <c r="K11" i="5"/>
  <c r="L11" i="5"/>
  <c r="M11" i="5"/>
  <c r="N11" i="5"/>
  <c r="Q11" i="5"/>
  <c r="F12" i="5"/>
  <c r="G12" i="5"/>
  <c r="H12" i="5"/>
  <c r="I12" i="5"/>
  <c r="J12" i="5"/>
  <c r="K12" i="5"/>
  <c r="L12" i="5"/>
  <c r="M12" i="5"/>
  <c r="N12" i="5"/>
  <c r="Q12" i="5"/>
  <c r="O14" i="5"/>
  <c r="C15" i="5"/>
  <c r="C16" i="5"/>
  <c r="D15" i="5"/>
  <c r="D16" i="5"/>
  <c r="E15" i="5"/>
  <c r="E16" i="5"/>
  <c r="F15" i="5"/>
  <c r="F16" i="5"/>
  <c r="G15" i="5"/>
  <c r="H15" i="5"/>
  <c r="I15" i="5"/>
  <c r="J15" i="5"/>
  <c r="K15" i="5"/>
  <c r="L15" i="5"/>
  <c r="M15" i="5"/>
  <c r="N15" i="5"/>
  <c r="Q15" i="5"/>
  <c r="G16" i="5"/>
  <c r="H16" i="5"/>
  <c r="I16" i="5"/>
  <c r="J16" i="5"/>
  <c r="K16" i="5"/>
  <c r="L16" i="5"/>
  <c r="M16" i="5"/>
  <c r="N16" i="5"/>
  <c r="Q16" i="5"/>
  <c r="S19" i="5"/>
  <c r="S20" i="5"/>
  <c r="S23" i="5"/>
  <c r="S26" i="5"/>
  <c r="S27" i="5"/>
  <c r="O7" i="2"/>
  <c r="N42" i="2"/>
  <c r="N36" i="2"/>
  <c r="M36" i="2"/>
  <c r="M42" i="2"/>
  <c r="L36" i="2"/>
  <c r="L42" i="2"/>
  <c r="K36" i="2"/>
  <c r="K42" i="2"/>
  <c r="J36" i="2"/>
  <c r="J42" i="2"/>
  <c r="I36" i="2"/>
  <c r="I42" i="2"/>
  <c r="H36" i="2"/>
  <c r="H42" i="2"/>
  <c r="G36" i="2"/>
  <c r="G42" i="2"/>
  <c r="F36" i="2"/>
  <c r="F42" i="2"/>
  <c r="E36" i="2"/>
  <c r="E42" i="2"/>
  <c r="E44" i="2"/>
  <c r="D36" i="2"/>
  <c r="D42" i="2"/>
  <c r="D44" i="2"/>
  <c r="C36" i="2"/>
  <c r="C42" i="2"/>
  <c r="N32" i="2"/>
  <c r="N44" i="2"/>
  <c r="M32" i="2"/>
  <c r="L32" i="2"/>
  <c r="K32" i="2"/>
  <c r="J32" i="2"/>
  <c r="I32" i="2"/>
  <c r="H32" i="2"/>
  <c r="G32" i="2"/>
  <c r="F32" i="2"/>
  <c r="E32" i="2"/>
  <c r="D32" i="2"/>
  <c r="C32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O19" i="2"/>
  <c r="O18" i="2"/>
  <c r="O16" i="2"/>
  <c r="N16" i="2"/>
  <c r="N17" i="2"/>
  <c r="M16" i="2"/>
  <c r="M17" i="2"/>
  <c r="L16" i="2"/>
  <c r="L17" i="2"/>
  <c r="K16" i="2"/>
  <c r="K17" i="2"/>
  <c r="J16" i="2"/>
  <c r="J17" i="2"/>
  <c r="I16" i="2"/>
  <c r="I17" i="2"/>
  <c r="H16" i="2"/>
  <c r="H17" i="2"/>
  <c r="G16" i="2"/>
  <c r="G17" i="2"/>
  <c r="F16" i="2"/>
  <c r="F17" i="2"/>
  <c r="E16" i="2"/>
  <c r="E17" i="2"/>
  <c r="D16" i="2"/>
  <c r="D17" i="2"/>
  <c r="C16" i="2"/>
  <c r="C17" i="2"/>
  <c r="N14" i="2"/>
  <c r="N15" i="2"/>
  <c r="M14" i="2"/>
  <c r="M15" i="2"/>
  <c r="L14" i="2"/>
  <c r="L15" i="2"/>
  <c r="K14" i="2"/>
  <c r="K20" i="2"/>
  <c r="K23" i="2"/>
  <c r="K24" i="2"/>
  <c r="J14" i="2"/>
  <c r="J15" i="2"/>
  <c r="I14" i="2"/>
  <c r="I15" i="2"/>
  <c r="H14" i="2"/>
  <c r="G14" i="2"/>
  <c r="F14" i="2"/>
  <c r="F15" i="2"/>
  <c r="E14" i="2"/>
  <c r="D14" i="2"/>
  <c r="C14" i="2"/>
  <c r="O13" i="2"/>
  <c r="O12" i="2"/>
  <c r="N10" i="2"/>
  <c r="N11" i="2"/>
  <c r="M10" i="2"/>
  <c r="M11" i="2"/>
  <c r="L10" i="2"/>
  <c r="L11" i="2"/>
  <c r="K10" i="2"/>
  <c r="K11" i="2"/>
  <c r="J10" i="2"/>
  <c r="J11" i="2"/>
  <c r="I10" i="2"/>
  <c r="I11" i="2"/>
  <c r="H10" i="2"/>
  <c r="H11" i="2"/>
  <c r="G10" i="2"/>
  <c r="G11" i="2"/>
  <c r="F10" i="2"/>
  <c r="F11" i="2"/>
  <c r="E10" i="2"/>
  <c r="E11" i="2"/>
  <c r="D10" i="2"/>
  <c r="D11" i="2"/>
  <c r="C10" i="2"/>
  <c r="C11" i="2"/>
  <c r="O9" i="2"/>
  <c r="N8" i="2"/>
  <c r="M8" i="2"/>
  <c r="L8" i="2"/>
  <c r="K8" i="2"/>
  <c r="J8" i="2"/>
  <c r="I8" i="2"/>
  <c r="H8" i="2"/>
  <c r="G8" i="2"/>
  <c r="F8" i="2"/>
  <c r="E8" i="2"/>
  <c r="D8" i="2"/>
  <c r="C8" i="2"/>
  <c r="N48" i="1"/>
  <c r="M48" i="1"/>
  <c r="L48" i="1"/>
  <c r="K48" i="1"/>
  <c r="J48" i="1"/>
  <c r="I48" i="1"/>
  <c r="H48" i="1"/>
  <c r="G48" i="1"/>
  <c r="F48" i="1"/>
  <c r="E48" i="1"/>
  <c r="D48" i="1"/>
  <c r="C48" i="1"/>
  <c r="Q43" i="1"/>
  <c r="N37" i="1"/>
  <c r="M37" i="1"/>
  <c r="L37" i="1"/>
  <c r="L43" i="1"/>
  <c r="K37" i="1"/>
  <c r="K43" i="1"/>
  <c r="J37" i="1"/>
  <c r="I37" i="1"/>
  <c r="H37" i="1"/>
  <c r="G37" i="1"/>
  <c r="F37" i="1"/>
  <c r="E37" i="1"/>
  <c r="D37" i="1"/>
  <c r="C37" i="1"/>
  <c r="C43" i="1"/>
  <c r="N33" i="1"/>
  <c r="M33" i="1"/>
  <c r="L33" i="1"/>
  <c r="L45" i="1"/>
  <c r="K33" i="1"/>
  <c r="J33" i="1"/>
  <c r="I33" i="1"/>
  <c r="H33" i="1"/>
  <c r="G33" i="1"/>
  <c r="F33" i="1"/>
  <c r="E33" i="1"/>
  <c r="D33" i="1"/>
  <c r="C33" i="1"/>
  <c r="N30" i="1"/>
  <c r="M30" i="1"/>
  <c r="L30" i="1"/>
  <c r="K30" i="1"/>
  <c r="J30" i="1"/>
  <c r="I30" i="1"/>
  <c r="H30" i="1"/>
  <c r="G30" i="1"/>
  <c r="F30" i="1"/>
  <c r="E30" i="1"/>
  <c r="D30" i="1"/>
  <c r="C30" i="1"/>
  <c r="O28" i="1"/>
  <c r="S28" i="1"/>
  <c r="N28" i="1"/>
  <c r="M28" i="1"/>
  <c r="L28" i="1"/>
  <c r="K28" i="1"/>
  <c r="J28" i="1"/>
  <c r="I28" i="1"/>
  <c r="H28" i="1"/>
  <c r="G28" i="1"/>
  <c r="F28" i="1"/>
  <c r="E28" i="1"/>
  <c r="D28" i="1"/>
  <c r="C28" i="1"/>
  <c r="S27" i="1"/>
  <c r="S26" i="1"/>
  <c r="S23" i="1"/>
  <c r="Q22" i="1"/>
  <c r="O20" i="1"/>
  <c r="S20" i="1"/>
  <c r="O19" i="1"/>
  <c r="Q18" i="1"/>
  <c r="N17" i="1"/>
  <c r="N18" i="1"/>
  <c r="M17" i="1"/>
  <c r="L17" i="1"/>
  <c r="L18" i="1"/>
  <c r="K17" i="1"/>
  <c r="K18" i="1"/>
  <c r="J17" i="1"/>
  <c r="I17" i="1"/>
  <c r="I18" i="1"/>
  <c r="H17" i="1"/>
  <c r="H18" i="1"/>
  <c r="G17" i="1"/>
  <c r="G18" i="1"/>
  <c r="F17" i="1"/>
  <c r="F18" i="1"/>
  <c r="E17" i="1"/>
  <c r="E18" i="1"/>
  <c r="D17" i="1"/>
  <c r="C17" i="1"/>
  <c r="C18" i="1"/>
  <c r="Q15" i="1"/>
  <c r="Q16" i="1"/>
  <c r="N15" i="1"/>
  <c r="N21" i="1"/>
  <c r="M15" i="1"/>
  <c r="L15" i="1"/>
  <c r="L16" i="1"/>
  <c r="K15" i="1"/>
  <c r="K16" i="1"/>
  <c r="J15" i="1"/>
  <c r="J16" i="1"/>
  <c r="I15" i="1"/>
  <c r="I16" i="1"/>
  <c r="H15" i="1"/>
  <c r="H21" i="1"/>
  <c r="G15" i="1"/>
  <c r="G16" i="1"/>
  <c r="F15" i="1"/>
  <c r="F21" i="1"/>
  <c r="E15" i="1"/>
  <c r="E21" i="1"/>
  <c r="D15" i="1"/>
  <c r="C15" i="1"/>
  <c r="C16" i="1"/>
  <c r="O14" i="1"/>
  <c r="O13" i="1"/>
  <c r="Q11" i="1"/>
  <c r="Q12" i="1"/>
  <c r="N11" i="1"/>
  <c r="N12" i="1"/>
  <c r="M11" i="1"/>
  <c r="M12" i="1"/>
  <c r="L11" i="1"/>
  <c r="L12" i="1"/>
  <c r="K11" i="1"/>
  <c r="K12" i="1"/>
  <c r="J11" i="1"/>
  <c r="J12" i="1"/>
  <c r="I11" i="1"/>
  <c r="I12" i="1"/>
  <c r="H11" i="1"/>
  <c r="G11" i="1"/>
  <c r="G12" i="1"/>
  <c r="F11" i="1"/>
  <c r="F12" i="1"/>
  <c r="E11" i="1"/>
  <c r="E12" i="1"/>
  <c r="D11" i="1"/>
  <c r="D12" i="1"/>
  <c r="C11" i="1"/>
  <c r="O10" i="1"/>
  <c r="S10" i="1"/>
  <c r="N9" i="1"/>
  <c r="M9" i="1"/>
  <c r="L9" i="1"/>
  <c r="K9" i="1"/>
  <c r="J9" i="1"/>
  <c r="I9" i="1"/>
  <c r="H9" i="1"/>
  <c r="G9" i="1"/>
  <c r="F9" i="1"/>
  <c r="E9" i="1"/>
  <c r="D9" i="1"/>
  <c r="C9" i="1"/>
  <c r="O8" i="1"/>
  <c r="S8" i="1"/>
  <c r="Q45" i="1"/>
  <c r="N43" i="1"/>
  <c r="N45" i="1"/>
  <c r="M43" i="1"/>
  <c r="M45" i="1"/>
  <c r="J43" i="1"/>
  <c r="J45" i="1"/>
  <c r="I43" i="1"/>
  <c r="I45" i="1"/>
  <c r="H43" i="1"/>
  <c r="G43" i="1"/>
  <c r="F43" i="1"/>
  <c r="E43" i="1"/>
  <c r="D43" i="1"/>
  <c r="D45" i="1"/>
  <c r="L21" i="1"/>
  <c r="L24" i="1"/>
  <c r="L25" i="1"/>
  <c r="K21" i="1"/>
  <c r="K24" i="1"/>
  <c r="K25" i="1"/>
  <c r="J21" i="1"/>
  <c r="J24" i="1"/>
  <c r="J25" i="1"/>
  <c r="I21" i="1"/>
  <c r="I24" i="1"/>
  <c r="I25" i="1"/>
  <c r="C21" i="1"/>
  <c r="C24" i="1"/>
  <c r="C25" i="1"/>
  <c r="D21" i="1"/>
  <c r="M16" i="1"/>
  <c r="H12" i="1"/>
  <c r="C12" i="1"/>
  <c r="S19" i="1"/>
  <c r="J18" i="1"/>
  <c r="M21" i="1"/>
  <c r="D16" i="1"/>
  <c r="O15" i="1"/>
  <c r="C18" i="6"/>
  <c r="C21" i="6"/>
  <c r="D18" i="6"/>
  <c r="D21" i="6"/>
  <c r="E18" i="6"/>
  <c r="E21" i="6"/>
  <c r="F18" i="6"/>
  <c r="F21" i="6"/>
  <c r="G18" i="6"/>
  <c r="G21" i="6"/>
  <c r="H18" i="6"/>
  <c r="H21" i="6"/>
  <c r="I18" i="6"/>
  <c r="I21" i="6"/>
  <c r="J18" i="6"/>
  <c r="J21" i="6"/>
  <c r="K18" i="6"/>
  <c r="K21" i="6"/>
  <c r="L18" i="6"/>
  <c r="L21" i="6"/>
  <c r="M18" i="6"/>
  <c r="M21" i="6"/>
  <c r="N18" i="6"/>
  <c r="N21" i="6"/>
  <c r="H45" i="5"/>
  <c r="G45" i="5"/>
  <c r="N45" i="5"/>
  <c r="F45" i="5"/>
  <c r="Q17" i="5"/>
  <c r="N17" i="5"/>
  <c r="M17" i="5"/>
  <c r="L17" i="5"/>
  <c r="K17" i="5"/>
  <c r="J17" i="5"/>
  <c r="I17" i="5"/>
  <c r="H17" i="5"/>
  <c r="E37" i="5"/>
  <c r="E43" i="5"/>
  <c r="D37" i="5"/>
  <c r="D43" i="5"/>
  <c r="C37" i="5"/>
  <c r="C43" i="5"/>
  <c r="E33" i="5"/>
  <c r="E45" i="5"/>
  <c r="D33" i="5"/>
  <c r="D45" i="5" s="1"/>
  <c r="C33" i="5"/>
  <c r="C45" i="5"/>
  <c r="H44" i="2"/>
  <c r="D20" i="2"/>
  <c r="D21" i="2"/>
  <c r="H20" i="2"/>
  <c r="H21" i="2"/>
  <c r="G20" i="2"/>
  <c r="G23" i="2"/>
  <c r="G24" i="2"/>
  <c r="C20" i="2"/>
  <c r="C21" i="2"/>
  <c r="E20" i="2"/>
  <c r="E21" i="2"/>
  <c r="F20" i="2"/>
  <c r="F23" i="2"/>
  <c r="F24" i="2"/>
  <c r="G44" i="2"/>
  <c r="C44" i="2"/>
  <c r="O14" i="2"/>
  <c r="O15" i="2"/>
  <c r="K15" i="2"/>
  <c r="M44" i="2"/>
  <c r="J44" i="2"/>
  <c r="I20" i="2"/>
  <c r="I21" i="2"/>
  <c r="I44" i="2"/>
  <c r="J20" i="2"/>
  <c r="J21" i="2"/>
  <c r="O10" i="2"/>
  <c r="L20" i="2"/>
  <c r="L23" i="2"/>
  <c r="L24" i="2"/>
  <c r="F44" i="2"/>
  <c r="O11" i="2"/>
  <c r="E23" i="2"/>
  <c r="E24" i="2"/>
  <c r="L44" i="2"/>
  <c r="K44" i="2"/>
  <c r="D23" i="2"/>
  <c r="D24" i="2"/>
  <c r="O17" i="2"/>
  <c r="K21" i="2"/>
  <c r="C15" i="2"/>
  <c r="M20" i="2"/>
  <c r="D15" i="2"/>
  <c r="N20" i="2"/>
  <c r="E15" i="2"/>
  <c r="H15" i="2"/>
  <c r="G15" i="2"/>
  <c r="N24" i="1"/>
  <c r="N25" i="1"/>
  <c r="N22" i="1"/>
  <c r="H22" i="1"/>
  <c r="H24" i="1"/>
  <c r="H25" i="1"/>
  <c r="C45" i="1"/>
  <c r="M24" i="1"/>
  <c r="M25" i="1"/>
  <c r="M22" i="1"/>
  <c r="S15" i="1"/>
  <c r="O16" i="1"/>
  <c r="E22" i="1"/>
  <c r="E24" i="1"/>
  <c r="E25" i="1"/>
  <c r="D24" i="1"/>
  <c r="D25" i="1"/>
  <c r="D22" i="1"/>
  <c r="F24" i="1"/>
  <c r="F25" i="1"/>
  <c r="F22" i="1"/>
  <c r="K45" i="1"/>
  <c r="M18" i="1"/>
  <c r="I22" i="1"/>
  <c r="S13" i="1"/>
  <c r="N16" i="1"/>
  <c r="J22" i="1"/>
  <c r="O17" i="1"/>
  <c r="K22" i="1"/>
  <c r="L22" i="1"/>
  <c r="D18" i="1"/>
  <c r="E16" i="1"/>
  <c r="F16" i="1"/>
  <c r="C22" i="1"/>
  <c r="H16" i="1"/>
  <c r="O11" i="1"/>
  <c r="G21" i="1"/>
  <c r="H45" i="1"/>
  <c r="G45" i="1"/>
  <c r="F45" i="1"/>
  <c r="E45" i="1"/>
  <c r="N22" i="6"/>
  <c r="N24" i="6"/>
  <c r="M22" i="6"/>
  <c r="M24" i="6"/>
  <c r="L22" i="6"/>
  <c r="L24" i="6"/>
  <c r="K22" i="6"/>
  <c r="K24" i="6"/>
  <c r="J22" i="6"/>
  <c r="J24" i="6"/>
  <c r="I22" i="6"/>
  <c r="I24" i="6"/>
  <c r="H22" i="6"/>
  <c r="H24" i="6"/>
  <c r="G22" i="6"/>
  <c r="G24" i="6"/>
  <c r="F22" i="6"/>
  <c r="F24" i="6"/>
  <c r="E22" i="6"/>
  <c r="E24" i="6"/>
  <c r="D22" i="6"/>
  <c r="D24" i="6"/>
  <c r="C22" i="6"/>
  <c r="C24" i="6"/>
  <c r="O12" i="5"/>
  <c r="S11" i="5"/>
  <c r="C18" i="5"/>
  <c r="C21" i="5"/>
  <c r="D18" i="5"/>
  <c r="D21" i="5"/>
  <c r="E18" i="5"/>
  <c r="E21" i="5"/>
  <c r="F18" i="5"/>
  <c r="F21" i="5"/>
  <c r="G21" i="5"/>
  <c r="H18" i="5"/>
  <c r="H21" i="5"/>
  <c r="I18" i="5"/>
  <c r="I21" i="5"/>
  <c r="J18" i="5"/>
  <c r="J21" i="5"/>
  <c r="K18" i="5"/>
  <c r="K21" i="5"/>
  <c r="L18" i="5"/>
  <c r="L21" i="5"/>
  <c r="M18" i="5"/>
  <c r="M21" i="5"/>
  <c r="N18" i="5"/>
  <c r="N21" i="5"/>
  <c r="Q18" i="5"/>
  <c r="Q21" i="5"/>
  <c r="G21" i="2"/>
  <c r="C23" i="2"/>
  <c r="C24" i="2"/>
  <c r="H23" i="2"/>
  <c r="H24" i="2"/>
  <c r="F21" i="2"/>
  <c r="O20" i="2"/>
  <c r="I23" i="2"/>
  <c r="I24" i="2"/>
  <c r="L21" i="2"/>
  <c r="J23" i="2"/>
  <c r="J24" i="2"/>
  <c r="O23" i="2"/>
  <c r="O21" i="2"/>
  <c r="N23" i="2"/>
  <c r="N24" i="2"/>
  <c r="N21" i="2"/>
  <c r="M23" i="2"/>
  <c r="M24" i="2"/>
  <c r="M21" i="2"/>
  <c r="S17" i="1"/>
  <c r="O18" i="1"/>
  <c r="O21" i="1"/>
  <c r="G24" i="1"/>
  <c r="G25" i="1"/>
  <c r="G22" i="1"/>
  <c r="S11" i="1"/>
  <c r="O12" i="1"/>
  <c r="C25" i="6"/>
  <c r="C28" i="6"/>
  <c r="D25" i="6"/>
  <c r="D28" i="6"/>
  <c r="E25" i="6"/>
  <c r="E28" i="6"/>
  <c r="F25" i="6"/>
  <c r="F28" i="6"/>
  <c r="G25" i="6"/>
  <c r="G28" i="6"/>
  <c r="H25" i="6"/>
  <c r="H28" i="6"/>
  <c r="I25" i="6"/>
  <c r="I28" i="6"/>
  <c r="J25" i="6"/>
  <c r="J28" i="6"/>
  <c r="K25" i="6"/>
  <c r="K28" i="6"/>
  <c r="L25" i="6"/>
  <c r="L28" i="6"/>
  <c r="M25" i="6"/>
  <c r="M28" i="6"/>
  <c r="N25" i="6"/>
  <c r="N28" i="6"/>
  <c r="Q22" i="5"/>
  <c r="Q24" i="5"/>
  <c r="Q28" i="5"/>
  <c r="N22" i="5"/>
  <c r="N24" i="5"/>
  <c r="M22" i="5"/>
  <c r="M24" i="5"/>
  <c r="L22" i="5"/>
  <c r="L24" i="5"/>
  <c r="K22" i="5"/>
  <c r="K24" i="5"/>
  <c r="J22" i="5"/>
  <c r="J24" i="5"/>
  <c r="I22" i="5"/>
  <c r="I24" i="5"/>
  <c r="H22" i="5"/>
  <c r="H24" i="5"/>
  <c r="G22" i="5"/>
  <c r="G24" i="5"/>
  <c r="F22" i="5"/>
  <c r="F24" i="5"/>
  <c r="E22" i="5"/>
  <c r="E24" i="5"/>
  <c r="D22" i="5"/>
  <c r="D24" i="5"/>
  <c r="C22" i="5"/>
  <c r="C24" i="5"/>
  <c r="O24" i="2"/>
  <c r="O24" i="1"/>
  <c r="S21" i="1"/>
  <c r="O22" i="1"/>
  <c r="C25" i="5"/>
  <c r="C28" i="5"/>
  <c r="D25" i="5"/>
  <c r="D28" i="5"/>
  <c r="E25" i="5"/>
  <c r="E28" i="5"/>
  <c r="F25" i="5"/>
  <c r="F28" i="5"/>
  <c r="G25" i="5"/>
  <c r="G28" i="5"/>
  <c r="H25" i="5"/>
  <c r="H28" i="5"/>
  <c r="I25" i="5"/>
  <c r="I28" i="5"/>
  <c r="J25" i="5"/>
  <c r="J28" i="5"/>
  <c r="K25" i="5"/>
  <c r="K28" i="5"/>
  <c r="L25" i="5"/>
  <c r="L28" i="5"/>
  <c r="M25" i="5"/>
  <c r="M28" i="5"/>
  <c r="N25" i="5"/>
  <c r="N28" i="5"/>
  <c r="S24" i="1"/>
  <c r="O25" i="1"/>
  <c r="S19" i="8" l="1"/>
  <c r="O17" i="6"/>
  <c r="O21" i="6" s="1"/>
  <c r="O18" i="5"/>
  <c r="S17" i="5"/>
  <c r="S20" i="7"/>
  <c r="U15" i="10"/>
  <c r="S19" i="7"/>
  <c r="Q18" i="10"/>
  <c r="O20" i="10"/>
  <c r="S20" i="10" s="1"/>
  <c r="H21" i="10"/>
  <c r="L21" i="10"/>
  <c r="D21" i="10"/>
  <c r="C17" i="10"/>
  <c r="C18" i="10" s="1"/>
  <c r="C21" i="10"/>
  <c r="C24" i="10" s="1"/>
  <c r="C25" i="10" s="1"/>
  <c r="S13" i="5"/>
  <c r="O15" i="5"/>
  <c r="O16" i="5" s="1"/>
  <c r="O21" i="7"/>
  <c r="O16" i="7"/>
  <c r="N21" i="10"/>
  <c r="N22" i="10" s="1"/>
  <c r="D11" i="10"/>
  <c r="D12" i="10" s="1"/>
  <c r="C11" i="10"/>
  <c r="C12" i="10" s="1"/>
  <c r="Q11" i="10"/>
  <c r="Q12" i="10" s="1"/>
  <c r="S15" i="10"/>
  <c r="M9" i="10"/>
  <c r="D16" i="10"/>
  <c r="L45" i="10"/>
  <c r="K18" i="10"/>
  <c r="M45" i="10"/>
  <c r="G9" i="10"/>
  <c r="J11" i="10"/>
  <c r="J12" i="10" s="1"/>
  <c r="J15" i="10"/>
  <c r="J16" i="10" s="1"/>
  <c r="H9" i="10"/>
  <c r="K11" i="10"/>
  <c r="K12" i="10" s="1"/>
  <c r="K15" i="10"/>
  <c r="H16" i="10"/>
  <c r="E21" i="10"/>
  <c r="E22" i="10" s="1"/>
  <c r="M21" i="10"/>
  <c r="M22" i="10" s="1"/>
  <c r="K33" i="10"/>
  <c r="K45" i="10" s="1"/>
  <c r="L16" i="10"/>
  <c r="G11" i="10"/>
  <c r="G12" i="10" s="1"/>
  <c r="G15" i="10"/>
  <c r="I21" i="10"/>
  <c r="I24" i="10" s="1"/>
  <c r="I25" i="10" s="1"/>
  <c r="G18" i="10"/>
  <c r="C16" i="10"/>
  <c r="H11" i="9"/>
  <c r="H12" i="9" s="1"/>
  <c r="O10" i="9"/>
  <c r="S10" i="9" s="1"/>
  <c r="K11" i="9"/>
  <c r="K12" i="9" s="1"/>
  <c r="C33" i="9"/>
  <c r="G37" i="9"/>
  <c r="G43" i="9" s="1"/>
  <c r="J15" i="9"/>
  <c r="J21" i="9" s="1"/>
  <c r="I17" i="9"/>
  <c r="I18" i="9" s="1"/>
  <c r="D37" i="9"/>
  <c r="D43" i="9" s="1"/>
  <c r="K18" i="9"/>
  <c r="E37" i="9"/>
  <c r="C17" i="9"/>
  <c r="C18" i="9" s="1"/>
  <c r="H24" i="10"/>
  <c r="H25" i="10" s="1"/>
  <c r="H22" i="10"/>
  <c r="D22" i="10"/>
  <c r="D24" i="10"/>
  <c r="D25" i="10" s="1"/>
  <c r="L22" i="10"/>
  <c r="L24" i="10"/>
  <c r="L25" i="10" s="1"/>
  <c r="F21" i="10"/>
  <c r="S8" i="10"/>
  <c r="I18" i="10"/>
  <c r="E18" i="10"/>
  <c r="M18" i="10"/>
  <c r="N24" i="10"/>
  <c r="N25" i="10" s="1"/>
  <c r="O11" i="10"/>
  <c r="C57" i="9"/>
  <c r="C15" i="9"/>
  <c r="K15" i="9"/>
  <c r="K21" i="9" s="1"/>
  <c r="G15" i="9"/>
  <c r="F43" i="9"/>
  <c r="O20" i="9"/>
  <c r="S20" i="9" s="1"/>
  <c r="D15" i="9"/>
  <c r="D21" i="9" s="1"/>
  <c r="L15" i="9"/>
  <c r="O19" i="9"/>
  <c r="L17" i="9"/>
  <c r="L18" i="9" s="1"/>
  <c r="C37" i="9"/>
  <c r="C43" i="9" s="1"/>
  <c r="E43" i="9"/>
  <c r="E11" i="9"/>
  <c r="E12" i="9" s="1"/>
  <c r="M11" i="9"/>
  <c r="M12" i="9" s="1"/>
  <c r="D11" i="9"/>
  <c r="D12" i="9" s="1"/>
  <c r="I15" i="9"/>
  <c r="E17" i="9"/>
  <c r="E18" i="9" s="1"/>
  <c r="M17" i="9"/>
  <c r="M18" i="9" s="1"/>
  <c r="H17" i="9"/>
  <c r="H18" i="9" s="1"/>
  <c r="O23" i="9"/>
  <c r="S23" i="9" s="1"/>
  <c r="F57" i="9"/>
  <c r="F59" i="9" s="1"/>
  <c r="F11" i="9"/>
  <c r="F12" i="9" s="1"/>
  <c r="N11" i="9"/>
  <c r="N12" i="9" s="1"/>
  <c r="I11" i="9"/>
  <c r="I12" i="9" s="1"/>
  <c r="L11" i="9"/>
  <c r="L12" i="9" s="1"/>
  <c r="F17" i="9"/>
  <c r="F18" i="9" s="1"/>
  <c r="N17" i="9"/>
  <c r="N18" i="9" s="1"/>
  <c r="G11" i="9"/>
  <c r="G12" i="9" s="1"/>
  <c r="Q11" i="9"/>
  <c r="Q12" i="9" s="1"/>
  <c r="J11" i="9"/>
  <c r="J12" i="9" s="1"/>
  <c r="G17" i="9"/>
  <c r="G18" i="9" s="1"/>
  <c r="S19" i="9"/>
  <c r="I16" i="9"/>
  <c r="C59" i="9"/>
  <c r="C61" i="9"/>
  <c r="C21" i="9"/>
  <c r="C16" i="9"/>
  <c r="K16" i="9"/>
  <c r="G16" i="9"/>
  <c r="C45" i="9"/>
  <c r="D34" i="9" s="1"/>
  <c r="D33" i="9" s="1"/>
  <c r="E9" i="9"/>
  <c r="M9" i="9"/>
  <c r="E15" i="9"/>
  <c r="M15" i="9"/>
  <c r="F9" i="9"/>
  <c r="N9" i="9"/>
  <c r="C11" i="9"/>
  <c r="C12" i="9" s="1"/>
  <c r="F15" i="9"/>
  <c r="N15" i="9"/>
  <c r="G9" i="9"/>
  <c r="S13" i="9"/>
  <c r="D57" i="9"/>
  <c r="O8" i="9"/>
  <c r="Q18" i="9" s="1"/>
  <c r="H9" i="9"/>
  <c r="H15" i="9"/>
  <c r="Q15" i="9"/>
  <c r="E57" i="9"/>
  <c r="I9" i="9"/>
  <c r="D17" i="9"/>
  <c r="D18" i="9" s="1"/>
  <c r="J9" i="9"/>
  <c r="G57" i="9"/>
  <c r="C9" i="9"/>
  <c r="K9" i="9"/>
  <c r="D9" i="9"/>
  <c r="L9" i="9"/>
  <c r="I28" i="7"/>
  <c r="I25" i="7"/>
  <c r="M28" i="7"/>
  <c r="M25" i="7"/>
  <c r="E28" i="7"/>
  <c r="E25" i="7"/>
  <c r="N25" i="7"/>
  <c r="F25" i="7"/>
  <c r="Q18" i="8"/>
  <c r="O15" i="8"/>
  <c r="O11" i="8"/>
  <c r="S8" i="8"/>
  <c r="C21" i="8"/>
  <c r="C16" i="8"/>
  <c r="D21" i="8"/>
  <c r="D16" i="8"/>
  <c r="E21" i="8"/>
  <c r="E16" i="8"/>
  <c r="F21" i="8"/>
  <c r="F16" i="8"/>
  <c r="G21" i="8"/>
  <c r="G16" i="8"/>
  <c r="H21" i="8"/>
  <c r="H16" i="8"/>
  <c r="I21" i="8"/>
  <c r="I16" i="8"/>
  <c r="J21" i="8"/>
  <c r="J16" i="8"/>
  <c r="K21" i="8"/>
  <c r="K16" i="8"/>
  <c r="L21" i="8"/>
  <c r="L16" i="8"/>
  <c r="M21" i="8"/>
  <c r="M16" i="8"/>
  <c r="N21" i="8"/>
  <c r="N16" i="8"/>
  <c r="O18" i="8"/>
  <c r="S17" i="8"/>
  <c r="S21" i="6" l="1"/>
  <c r="O24" i="6"/>
  <c r="O25" i="6" s="1"/>
  <c r="O18" i="6"/>
  <c r="O22" i="6"/>
  <c r="T20" i="7"/>
  <c r="T19" i="7"/>
  <c r="S17" i="7"/>
  <c r="C22" i="10"/>
  <c r="O21" i="5"/>
  <c r="S15" i="5"/>
  <c r="O24" i="7"/>
  <c r="S21" i="7"/>
  <c r="O22" i="7"/>
  <c r="I22" i="10"/>
  <c r="J21" i="10"/>
  <c r="J22" i="10" s="1"/>
  <c r="O16" i="10"/>
  <c r="S24" i="6"/>
  <c r="E24" i="10"/>
  <c r="E25" i="10" s="1"/>
  <c r="M24" i="10"/>
  <c r="M25" i="10" s="1"/>
  <c r="K21" i="10"/>
  <c r="K16" i="10"/>
  <c r="G21" i="10"/>
  <c r="G16" i="10"/>
  <c r="D45" i="9"/>
  <c r="E34" i="9" s="1"/>
  <c r="E33" i="9" s="1"/>
  <c r="E45" i="9" s="1"/>
  <c r="F34" i="9" s="1"/>
  <c r="F33" i="9" s="1"/>
  <c r="F45" i="9" s="1"/>
  <c r="G34" i="9" s="1"/>
  <c r="G33" i="9" s="1"/>
  <c r="G45" i="9" s="1"/>
  <c r="F61" i="9"/>
  <c r="I21" i="9"/>
  <c r="J16" i="9"/>
  <c r="L21" i="9"/>
  <c r="F22" i="10"/>
  <c r="F24" i="10"/>
  <c r="F25" i="10" s="1"/>
  <c r="S11" i="10"/>
  <c r="O12" i="10"/>
  <c r="O18" i="10"/>
  <c r="S17" i="10"/>
  <c r="D16" i="9"/>
  <c r="G21" i="9"/>
  <c r="G22" i="9" s="1"/>
  <c r="O17" i="9"/>
  <c r="L16" i="9"/>
  <c r="E61" i="9"/>
  <c r="E59" i="9"/>
  <c r="N21" i="9"/>
  <c r="N16" i="9"/>
  <c r="Q21" i="9"/>
  <c r="Q16" i="9"/>
  <c r="F21" i="9"/>
  <c r="F16" i="9"/>
  <c r="C22" i="9"/>
  <c r="C24" i="9"/>
  <c r="J22" i="9"/>
  <c r="J24" i="9"/>
  <c r="I22" i="9"/>
  <c r="I24" i="9"/>
  <c r="H21" i="9"/>
  <c r="H16" i="9"/>
  <c r="D22" i="9"/>
  <c r="D24" i="9"/>
  <c r="G61" i="9"/>
  <c r="G59" i="9"/>
  <c r="O11" i="9"/>
  <c r="S8" i="9"/>
  <c r="O15" i="9"/>
  <c r="O18" i="9"/>
  <c r="S17" i="9"/>
  <c r="D59" i="9"/>
  <c r="D61" i="9"/>
  <c r="M16" i="9"/>
  <c r="M21" i="9"/>
  <c r="K22" i="9"/>
  <c r="K24" i="9"/>
  <c r="E16" i="9"/>
  <c r="E21" i="9"/>
  <c r="L22" i="9"/>
  <c r="L24" i="9"/>
  <c r="N24" i="8"/>
  <c r="N25" i="8" s="1"/>
  <c r="N22" i="8"/>
  <c r="M24" i="8"/>
  <c r="M25" i="8" s="1"/>
  <c r="M22" i="8"/>
  <c r="L24" i="8"/>
  <c r="L25" i="8" s="1"/>
  <c r="L22" i="8"/>
  <c r="K24" i="8"/>
  <c r="K25" i="8" s="1"/>
  <c r="K22" i="8"/>
  <c r="J24" i="8"/>
  <c r="J25" i="8" s="1"/>
  <c r="J22" i="8"/>
  <c r="I24" i="8"/>
  <c r="I25" i="8" s="1"/>
  <c r="I22" i="8"/>
  <c r="H24" i="8"/>
  <c r="H25" i="8" s="1"/>
  <c r="H22" i="8"/>
  <c r="G24" i="8"/>
  <c r="G25" i="8" s="1"/>
  <c r="G22" i="8"/>
  <c r="F24" i="8"/>
  <c r="F25" i="8" s="1"/>
  <c r="F22" i="8"/>
  <c r="E24" i="8"/>
  <c r="E25" i="8" s="1"/>
  <c r="E22" i="8"/>
  <c r="D24" i="8"/>
  <c r="D25" i="8" s="1"/>
  <c r="D22" i="8"/>
  <c r="C24" i="8"/>
  <c r="C25" i="8" s="1"/>
  <c r="C22" i="8"/>
  <c r="O12" i="8"/>
  <c r="S11" i="8"/>
  <c r="O21" i="8"/>
  <c r="O16" i="8"/>
  <c r="S15" i="8"/>
  <c r="O28" i="6" l="1"/>
  <c r="S28" i="6" s="1"/>
  <c r="J24" i="10"/>
  <c r="J25" i="10" s="1"/>
  <c r="S21" i="5"/>
  <c r="O22" i="5"/>
  <c r="O24" i="5"/>
  <c r="S24" i="7"/>
  <c r="O25" i="7"/>
  <c r="O28" i="7"/>
  <c r="S28" i="7" s="1"/>
  <c r="G24" i="10"/>
  <c r="G25" i="10" s="1"/>
  <c r="G22" i="10"/>
  <c r="K22" i="10"/>
  <c r="K24" i="10"/>
  <c r="K25" i="10" s="1"/>
  <c r="G24" i="9"/>
  <c r="O24" i="10"/>
  <c r="O22" i="10"/>
  <c r="S21" i="10"/>
  <c r="H24" i="9"/>
  <c r="H22" i="9"/>
  <c r="Q24" i="9"/>
  <c r="Q28" i="9" s="1"/>
  <c r="Q22" i="9"/>
  <c r="M22" i="9"/>
  <c r="M24" i="9"/>
  <c r="S11" i="9"/>
  <c r="O12" i="9"/>
  <c r="F24" i="9"/>
  <c r="F22" i="9"/>
  <c r="I25" i="9"/>
  <c r="I28" i="9"/>
  <c r="L25" i="9"/>
  <c r="L28" i="9"/>
  <c r="D25" i="9"/>
  <c r="D28" i="9"/>
  <c r="J28" i="9"/>
  <c r="J25" i="9"/>
  <c r="E22" i="9"/>
  <c r="E24" i="9"/>
  <c r="N24" i="9"/>
  <c r="N22" i="9"/>
  <c r="C25" i="9"/>
  <c r="C28" i="9"/>
  <c r="K25" i="9"/>
  <c r="K28" i="9"/>
  <c r="S15" i="9"/>
  <c r="O21" i="9"/>
  <c r="O16" i="9"/>
  <c r="G25" i="9"/>
  <c r="G28" i="9"/>
  <c r="O24" i="8"/>
  <c r="O22" i="8"/>
  <c r="S21" i="8"/>
  <c r="O25" i="5" l="1"/>
  <c r="S24" i="5"/>
  <c r="O28" i="5"/>
  <c r="S28" i="5" s="1"/>
  <c r="O25" i="10"/>
  <c r="M25" i="9"/>
  <c r="M28" i="9"/>
  <c r="N25" i="9"/>
  <c r="N28" i="9"/>
  <c r="O24" i="9"/>
  <c r="S21" i="9"/>
  <c r="O22" i="9"/>
  <c r="E25" i="9"/>
  <c r="E28" i="9"/>
  <c r="F25" i="9"/>
  <c r="F28" i="9"/>
  <c r="H25" i="9"/>
  <c r="H28" i="9"/>
  <c r="O25" i="8"/>
  <c r="S24" i="8"/>
  <c r="O25" i="9" l="1"/>
  <c r="O28" i="9"/>
  <c r="S28" i="9" s="1"/>
  <c r="S24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Carmen Lendoiro Boquete</author>
  </authors>
  <commentList>
    <comment ref="H57" authorId="0" shapeId="0" xr:uid="{2EA1F1A2-5712-4401-B51F-C8158F46BC10}">
      <text>
        <r>
          <rPr>
            <b/>
            <sz val="9"/>
            <color indexed="81"/>
            <rFont val="Tahoma"/>
            <family val="2"/>
          </rPr>
          <t>Target BP. Ha incrementado en abril y mayo por las comisiones de Sergi pero son contratos a 60 meses con valor a lp</t>
        </r>
      </text>
    </comment>
  </commentList>
</comments>
</file>

<file path=xl/sharedStrings.xml><?xml version="1.0" encoding="utf-8"?>
<sst xmlns="http://schemas.openxmlformats.org/spreadsheetml/2006/main" count="1040" uniqueCount="107">
  <si>
    <r>
      <t>ACTUAL + FORECAST __</t>
    </r>
    <r>
      <rPr>
        <b/>
        <sz val="18"/>
        <color theme="1"/>
        <rFont val="Arial"/>
        <family val="2"/>
      </rPr>
      <t>Company name</t>
    </r>
    <r>
      <rPr>
        <b/>
        <sz val="24"/>
        <color theme="1"/>
        <rFont val="Arial"/>
        <family val="2"/>
      </rPr>
      <t>______________________________</t>
    </r>
  </si>
  <si>
    <t>BP</t>
  </si>
  <si>
    <t>Cuenta de Resultados</t>
  </si>
  <si>
    <t xml:space="preserve">Enero 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</si>
  <si>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</si>
  <si>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</si>
  <si>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</si>
  <si>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</si>
  <si>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</si>
  <si>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</si>
  <si>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</si>
  <si>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</si>
  <si>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</si>
  <si>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</si>
  <si>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</si>
  <si>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 xml:space="preserve">Total </t>
  </si>
  <si>
    <t xml:space="preserve">REVENUE </t>
  </si>
  <si>
    <t>% Growth</t>
  </si>
  <si>
    <t>COGS</t>
  </si>
  <si>
    <t>GROSS MARGIN</t>
  </si>
  <si>
    <t>as % of Revenue</t>
  </si>
  <si>
    <t>DIRECT LABOR COST</t>
  </si>
  <si>
    <t>HEADCOUNT</t>
  </si>
  <si>
    <t>CONTRIBUTION MARGIN</t>
  </si>
  <si>
    <t>TOTAL OPERATING EXPENSES (OPEX)</t>
  </si>
  <si>
    <t xml:space="preserve">MKT (agencias, paid, fees amazon,etc) </t>
  </si>
  <si>
    <t>Other OPEX</t>
  </si>
  <si>
    <t>EBITDA</t>
  </si>
  <si>
    <t>Amortizaciones</t>
  </si>
  <si>
    <t xml:space="preserve">EBIT </t>
  </si>
  <si>
    <t xml:space="preserve">Restd. Financiero </t>
  </si>
  <si>
    <t>Impuesto sociedades</t>
  </si>
  <si>
    <t>NET INCOME</t>
  </si>
  <si>
    <t>Cash Flow</t>
  </si>
  <si>
    <t>CASH-INS</t>
  </si>
  <si>
    <t>Cash position BoP</t>
  </si>
  <si>
    <t>Revenues</t>
  </si>
  <si>
    <t xml:space="preserve">APORTACION K </t>
  </si>
  <si>
    <t>CASH-OUT</t>
  </si>
  <si>
    <t xml:space="preserve">COGS </t>
  </si>
  <si>
    <t>Direct Labor</t>
  </si>
  <si>
    <t>Total OPEX</t>
  </si>
  <si>
    <t>PROFIT SHARING</t>
  </si>
  <si>
    <t>CAPEX</t>
  </si>
  <si>
    <t>TOTAL CASH-OUTS + CAPEX</t>
  </si>
  <si>
    <t>Costes financieros</t>
  </si>
  <si>
    <t xml:space="preserve">Cash position EOP </t>
  </si>
  <si>
    <t>ACTUAL + FORECAST</t>
  </si>
  <si>
    <t>[Company Name]</t>
  </si>
  <si>
    <t>ACTUAL</t>
  </si>
  <si>
    <t>FORECAST</t>
  </si>
  <si>
    <t xml:space="preserve">FORECAST </t>
  </si>
  <si>
    <t>Actual+Forecast</t>
  </si>
  <si>
    <t>Dif</t>
  </si>
  <si>
    <t xml:space="preserve">Comentarios </t>
  </si>
  <si>
    <t>KPI's</t>
  </si>
  <si>
    <t>Volume (kgs, instal., products, tickets,...)</t>
  </si>
  <si>
    <t>ARR</t>
  </si>
  <si>
    <t xml:space="preserve">Churn </t>
  </si>
  <si>
    <t>LTV</t>
  </si>
  <si>
    <t xml:space="preserve">Efficiency </t>
  </si>
  <si>
    <t>CAC</t>
  </si>
  <si>
    <t>LTV/CAC</t>
  </si>
  <si>
    <t xml:space="preserve">Payback </t>
  </si>
  <si>
    <t>TOTAL Investment</t>
  </si>
  <si>
    <t>ACTUALS + FORECAST</t>
  </si>
  <si>
    <t>Miia</t>
  </si>
  <si>
    <t>Actuals + Forecast</t>
  </si>
  <si>
    <t>MENDRUGO</t>
  </si>
  <si>
    <t>Tickets</t>
  </si>
  <si>
    <t>Ticket Medio</t>
  </si>
  <si>
    <t>20,43€</t>
  </si>
  <si>
    <t>22,41€</t>
  </si>
  <si>
    <t>20,94€</t>
  </si>
  <si>
    <t>21,86€</t>
  </si>
  <si>
    <t>21,52€</t>
  </si>
  <si>
    <t>Reservas</t>
  </si>
  <si>
    <t>Comensales</t>
  </si>
  <si>
    <t>Coste Teórico de Comida</t>
  </si>
  <si>
    <t>30,5%</t>
  </si>
  <si>
    <t>30,8%</t>
  </si>
  <si>
    <t>31,7%</t>
  </si>
  <si>
    <t>31,8%</t>
  </si>
  <si>
    <t>Productividad</t>
  </si>
  <si>
    <t>Coste/hora</t>
  </si>
  <si>
    <t>13,21€</t>
  </si>
  <si>
    <t>12,94€</t>
  </si>
  <si>
    <t>13,17€</t>
  </si>
  <si>
    <t>Margen Operativo</t>
  </si>
  <si>
    <t>Arandovo</t>
  </si>
  <si>
    <t> </t>
  </si>
  <si>
    <t>na</t>
  </si>
  <si>
    <t>Volumen de Producción (kg)</t>
  </si>
  <si>
    <t>Mica</t>
  </si>
  <si>
    <t>Litros elaborados</t>
  </si>
  <si>
    <t>Unidades Vendidas</t>
  </si>
  <si>
    <t>Ventas realizada</t>
  </si>
  <si>
    <t>Conversión</t>
  </si>
  <si>
    <t>Retención</t>
  </si>
  <si>
    <t>No hay ventas de equipos todo el modelo es suscripción</t>
  </si>
  <si>
    <t xml:space="preserve">Incluye comisiones de un externo (Sergi) </t>
  </si>
  <si>
    <t>Nuevas instalaciones (Vol.)</t>
  </si>
  <si>
    <t xml:space="preserve">% Churn </t>
  </si>
  <si>
    <t>CAC (incl. comisiones &amp; Marketing )</t>
  </si>
  <si>
    <t>ARR/CAC</t>
  </si>
  <si>
    <t>Payback CAC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</si>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</sst>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#,##0\ &quot;€&quot;;[Red]\-#,##0\ &quot;€&quot;"/>
    <numFmt numFmtId="164" formatCode="#,##0\ [$€-1]"/>
    <numFmt numFmtId="165" formatCode="_-* #,##0\ &quot;€&quot;_-;\-* #,##0\ &quot;€&quot;_-;_-* &quot;-&quot;??\ &quot;€&quot;_-;_-@"/>
    <numFmt numFmtId="166" formatCode="0.0%"/>
    <numFmt numFmtId="167" formatCode="#,##0.00\ [$€-1]"/>
    <numFmt numFmtId="168" formatCode="_-* #,##0_-;\-* #,##0_-;_-* &quot;-&quot;??_-;_-@_-"/>
    <numFmt numFmtId="169" formatCode="_(* #,##0_);_(* \(#,##0\);_(* &quot;-&quot;??_);_(@_)"/>
  </numFmts>
  <fonts count="8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9"/>
      <color theme="1"/>
      <name val="Arial"/>
      <family val="2"/>
    </font>
    <font>
      <b/>
      <sz val="24"/>
      <color theme="1"/>
      <name val="Arial"/>
      <family val="2"/>
    </font>
    <font>
      <b/>
      <sz val="18"/>
      <color theme="1"/>
      <name val="Arial"/>
      <family val="2"/>
    </font>
    <font>
      <b/>
      <sz val="9"/>
      <color rgb="FF000000"/>
      <name val="Arial"/>
      <family val="2"/>
    </font>
    <font>
      <b/>
      <sz val="11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0"/>
      <name val="Arial"/>
      <family val="2"/>
    </font>
    <font>
      <b/>
      <sz val="8"/>
      <color theme="0"/>
      <name val="Arial"/>
      <family val="2"/>
    </font>
    <font>
      <b/>
      <sz val="14"/>
      <color theme="0"/>
      <name val="Arial"/>
      <family val="2"/>
    </font>
    <font>
      <b/>
      <sz val="16"/>
      <color theme="1"/>
      <name val="Arial"/>
      <family val="2"/>
    </font>
    <font>
      <sz val="11"/>
      <color theme="0"/>
      <name val="Calibri"/>
      <family val="2"/>
    </font>
    <font>
      <sz val="8"/>
      <color theme="0"/>
      <name val="Arial"/>
      <family val="2"/>
    </font>
    <font>
      <i/>
      <sz val="8"/>
      <color rgb="FF000000"/>
      <name val="Arial"/>
      <family val="2"/>
    </font>
    <font>
      <i/>
      <sz val="8"/>
      <color rgb="FF000000"/>
      <name val="Aptos Narrow"/>
      <family val="2"/>
      <scheme val="minor"/>
    </font>
    <font>
      <sz val="8"/>
      <color rgb="FF000000"/>
      <name val="Arial"/>
      <family val="2"/>
    </font>
    <font>
      <sz val="9"/>
      <color theme="1"/>
      <name val="Aptos Narrow"/>
      <family val="2"/>
      <scheme val="minor"/>
    </font>
    <font>
      <i/>
      <sz val="11"/>
      <color theme="1"/>
      <name val="Arial"/>
      <family val="2"/>
    </font>
    <font>
      <i/>
      <sz val="9"/>
      <color rgb="FF000000"/>
      <name val="Arial"/>
      <family val="2"/>
    </font>
    <font>
      <b/>
      <sz val="8"/>
      <color theme="1"/>
      <name val="Arial"/>
      <family val="2"/>
    </font>
    <font>
      <sz val="9"/>
      <color rgb="FF000000"/>
      <name val="Arial"/>
      <family val="2"/>
    </font>
    <font>
      <i/>
      <sz val="8"/>
      <color theme="1"/>
      <name val="Arial"/>
      <family val="2"/>
    </font>
    <font>
      <sz val="7"/>
      <color theme="1"/>
      <name val="Arial"/>
      <family val="2"/>
    </font>
    <font>
      <b/>
      <i/>
      <sz val="9"/>
      <color rgb="FF000000"/>
      <name val="Arial"/>
      <family val="2"/>
    </font>
    <font>
      <sz val="10"/>
      <color theme="1"/>
      <name val="Arial"/>
      <family val="2"/>
    </font>
    <font>
      <b/>
      <sz val="8"/>
      <color rgb="FF000000"/>
      <name val="Arial"/>
      <family val="2"/>
    </font>
    <font>
      <sz val="8"/>
      <color theme="1"/>
      <name val="Calibri"/>
      <family val="2"/>
    </font>
    <font>
      <i/>
      <sz val="11"/>
      <color theme="1"/>
      <name val="Aptos Narrow"/>
      <family val="2"/>
      <scheme val="minor"/>
    </font>
    <font>
      <i/>
      <sz val="11"/>
      <color rgb="FF000000"/>
      <name val="Aptos Narrow"/>
      <family val="2"/>
      <scheme val="minor"/>
    </font>
    <font>
      <b/>
      <sz val="9"/>
      <color rgb="FF00B0F0"/>
      <name val="Arial"/>
      <family val="2"/>
    </font>
    <font>
      <b/>
      <sz val="24"/>
      <color rgb="FF000000"/>
      <name val="Arial"/>
      <family val="2"/>
    </font>
    <font>
      <sz val="11"/>
      <color rgb="FF000000"/>
      <name val="Aptos Narrow"/>
      <family val="2"/>
    </font>
    <font>
      <b/>
      <sz val="11"/>
      <color rgb="FF000000"/>
      <name val="Arial"/>
      <family val="2"/>
    </font>
    <font>
      <b/>
      <sz val="9"/>
      <color rgb="FFFFFFFF"/>
      <name val="Arial"/>
      <family val="2"/>
    </font>
    <font>
      <b/>
      <sz val="8"/>
      <color rgb="FFFFFFFF"/>
      <name val="Arial"/>
      <family val="2"/>
    </font>
    <font>
      <b/>
      <sz val="14"/>
      <color rgb="FFFFFFFF"/>
      <name val="Arial"/>
      <family val="2"/>
    </font>
    <font>
      <b/>
      <sz val="16"/>
      <color rgb="FF000000"/>
      <name val="Arial"/>
      <family val="2"/>
    </font>
    <font>
      <sz val="8"/>
      <color rgb="FFFFFFFF"/>
      <name val="Arial"/>
      <family val="2"/>
    </font>
    <font>
      <i/>
      <sz val="8"/>
      <color rgb="FF000000"/>
      <name val="Aptos Narrow"/>
      <family val="2"/>
    </font>
    <font>
      <sz val="9"/>
      <color rgb="FF000000"/>
      <name val="Aptos Narrow"/>
      <family val="2"/>
    </font>
    <font>
      <i/>
      <sz val="11"/>
      <color rgb="FF000000"/>
      <name val="Arial"/>
      <family val="2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Calibri"/>
      <family val="2"/>
    </font>
    <font>
      <i/>
      <sz val="11"/>
      <color rgb="FF000000"/>
      <name val="Aptos Narrow"/>
      <family val="2"/>
    </font>
    <font>
      <b/>
      <sz val="18"/>
      <color rgb="FF000000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b/>
      <sz val="18"/>
      <color rgb="FF000000"/>
      <name val="Arial"/>
      <family val="2"/>
    </font>
    <font>
      <b/>
      <sz val="24"/>
      <color rgb="FF000000"/>
      <name val="Arial"/>
      <family val="2"/>
    </font>
    <font>
      <b/>
      <sz val="9"/>
      <color rgb="FF000000"/>
      <name val="Arial"/>
      <family val="2"/>
    </font>
    <font>
      <b/>
      <sz val="11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0"/>
      <name val="Arial"/>
      <family val="2"/>
    </font>
    <font>
      <b/>
      <sz val="8"/>
      <color theme="0"/>
      <name val="Arial"/>
      <family val="2"/>
    </font>
    <font>
      <b/>
      <sz val="8"/>
      <color rgb="FFFFFFFF"/>
      <name val="Arial"/>
      <family val="2"/>
    </font>
    <font>
      <b/>
      <sz val="14"/>
      <color theme="0"/>
      <name val="Arial"/>
      <family val="2"/>
    </font>
    <font>
      <b/>
      <sz val="16"/>
      <color theme="1"/>
      <name val="Arial"/>
      <family val="2"/>
    </font>
    <font>
      <sz val="11"/>
      <color theme="0"/>
      <name val="Calibri"/>
      <family val="2"/>
    </font>
    <font>
      <sz val="8"/>
      <color theme="0"/>
      <name val="Arial"/>
      <family val="2"/>
    </font>
    <font>
      <i/>
      <sz val="8"/>
      <color rgb="FF000000"/>
      <name val="Arial"/>
      <family val="2"/>
    </font>
    <font>
      <sz val="8"/>
      <color rgb="FF000000"/>
      <name val="Arial"/>
      <family val="2"/>
    </font>
    <font>
      <i/>
      <sz val="11"/>
      <color theme="1"/>
      <name val="Arial"/>
      <family val="2"/>
    </font>
    <font>
      <i/>
      <sz val="9"/>
      <color rgb="FF000000"/>
      <name val="Arial"/>
      <family val="2"/>
    </font>
    <font>
      <b/>
      <sz val="8"/>
      <color theme="1"/>
      <name val="Arial"/>
      <family val="2"/>
    </font>
    <font>
      <i/>
      <sz val="8"/>
      <color theme="1"/>
      <name val="Arial"/>
      <family val="2"/>
    </font>
    <font>
      <sz val="7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Arial"/>
      <family val="2"/>
    </font>
    <font>
      <sz val="8"/>
      <color theme="1"/>
      <name val="Calibri"/>
      <family val="2"/>
    </font>
    <font>
      <b/>
      <sz val="9"/>
      <color rgb="FF00B0F0"/>
      <name val="Arial"/>
      <family val="2"/>
    </font>
    <font>
      <sz val="10"/>
      <color rgb="FF0F384C"/>
      <name val="Barlow"/>
    </font>
    <font>
      <b/>
      <sz val="9"/>
      <color rgb="FFFFFFFF"/>
      <name val="Arial"/>
      <family val="2"/>
    </font>
    <font>
      <sz val="11"/>
      <color theme="4"/>
      <name val="Aptos Narrow"/>
      <family val="2"/>
      <scheme val="minor"/>
    </font>
    <font>
      <b/>
      <sz val="9"/>
      <color indexed="81"/>
      <name val="Tahoma"/>
      <family val="2"/>
    </font>
    <font>
      <sz val="11"/>
      <color rgb="FF00B0F0"/>
      <name val="Aptos Narrow"/>
      <family val="2"/>
      <scheme val="minor"/>
    </font>
    <font>
      <i/>
      <sz val="11"/>
      <color rgb="FF00B0F0"/>
      <name val="Arial"/>
      <family val="2"/>
    </font>
    <font>
      <i/>
      <sz val="11"/>
      <color rgb="FF00B0F0"/>
      <name val="Aptos Narrow"/>
      <family val="2"/>
      <scheme val="minor"/>
    </font>
    <font>
      <i/>
      <sz val="11"/>
      <color rgb="FF00B0F0"/>
      <name val="Arial"/>
      <family val="2"/>
    </font>
    <font>
      <sz val="14"/>
      <color rgb="FF172026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4"/>
        <bgColor rgb="FFD9D9D9"/>
      </patternFill>
    </fill>
    <fill>
      <patternFill patternType="solid">
        <fgColor theme="1" tint="0.34998626667073579"/>
        <bgColor rgb="FFD9D9D9"/>
      </patternFill>
    </fill>
    <fill>
      <patternFill patternType="solid">
        <fgColor theme="1" tint="0.499984740745262"/>
        <bgColor rgb="FFD9D9D9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rgb="FFF3F3F3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1" tint="0.499984740745262"/>
        <bgColor rgb="FFB7B7B7"/>
      </patternFill>
    </fill>
    <fill>
      <patternFill patternType="solid">
        <fgColor theme="0"/>
        <bgColor rgb="FFD9D9D9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000000"/>
      </patternFill>
    </fill>
    <fill>
      <patternFill patternType="solid">
        <fgColor rgb="FF156082"/>
        <bgColor rgb="FFD9D9D9"/>
      </patternFill>
    </fill>
    <fill>
      <patternFill patternType="solid">
        <fgColor rgb="FF595959"/>
        <bgColor rgb="FFD9D9D9"/>
      </patternFill>
    </fill>
    <fill>
      <patternFill patternType="solid">
        <fgColor rgb="FF808080"/>
        <bgColor rgb="FFD9D9D9"/>
      </patternFill>
    </fill>
    <fill>
      <patternFill patternType="solid">
        <fgColor rgb="FFD0D0D0"/>
        <bgColor rgb="FF000000"/>
      </patternFill>
    </fill>
    <fill>
      <patternFill patternType="solid">
        <fgColor rgb="FF15608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rgb="FFF3F3F3"/>
      </patternFill>
    </fill>
    <fill>
      <patternFill patternType="solid">
        <fgColor rgb="FFDAE9F8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rgb="FFB7B7B7"/>
      </patternFill>
    </fill>
    <fill>
      <patternFill patternType="solid">
        <fgColor rgb="FFFFFFFF"/>
        <bgColor rgb="FFD9D9D9"/>
      </patternFill>
    </fill>
    <fill>
      <patternFill patternType="solid">
        <fgColor rgb="FFF2F2F2"/>
        <bgColor rgb="FFFFFFFF"/>
      </patternFill>
    </fill>
    <fill>
      <patternFill patternType="solid">
        <fgColor rgb="FFDAF2D0"/>
        <bgColor rgb="FF000000"/>
      </patternFill>
    </fill>
    <fill>
      <patternFill patternType="solid">
        <fgColor theme="3" tint="0.89999084444715716"/>
        <bgColor rgb="FF000000"/>
      </patternFill>
    </fill>
    <fill>
      <patternFill patternType="solid">
        <fgColor rgb="FFF3F3F3"/>
        <bgColor rgb="FFEFF6F3"/>
      </patternFill>
    </fill>
    <fill>
      <patternFill patternType="solid">
        <fgColor theme="0" tint="-0.14999847407452621"/>
        <bgColor indexed="64"/>
      </patternFill>
    </fill>
  </fills>
  <borders count="66">
    <border>
      <left/>
      <right/>
      <top/>
      <bottom/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indexed="64"/>
      </top>
      <bottom style="thin">
        <color rgb="FFFFFFFF"/>
      </bottom>
      <diagonal/>
    </border>
    <border>
      <left/>
      <right style="thin">
        <color rgb="FFFFFFFF"/>
      </right>
      <top style="thin">
        <color indexed="64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/>
      <right style="thin">
        <color rgb="FFFFFFFF"/>
      </right>
      <top style="thin">
        <color rgb="FF000000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D9D9D9"/>
      </left>
      <right style="thin">
        <color indexed="64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indexed="64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FFFFFF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FFFFFF"/>
      </bottom>
      <diagonal/>
    </border>
    <border>
      <left/>
      <right style="thin">
        <color rgb="FFFFFFFF"/>
      </right>
      <top style="thin">
        <color indexed="64"/>
      </top>
      <bottom/>
      <diagonal/>
    </border>
    <border>
      <left style="thin">
        <color rgb="FFFFFFFF"/>
      </left>
      <right/>
      <top style="thin">
        <color rgb="FF000000"/>
      </top>
      <bottom style="thin">
        <color rgb="FFFFFFFF"/>
      </bottom>
      <diagonal/>
    </border>
    <border>
      <left/>
      <right/>
      <top style="thin">
        <color indexed="64"/>
      </top>
      <bottom/>
      <diagonal/>
    </border>
    <border>
      <left style="thin">
        <color rgb="FFFFFFFF"/>
      </left>
      <right style="thin">
        <color rgb="FFFFFFFF"/>
      </right>
      <top style="thin">
        <color indexed="64"/>
      </top>
      <bottom/>
      <diagonal/>
    </border>
    <border>
      <left style="thin">
        <color rgb="FFFFFFFF"/>
      </left>
      <right/>
      <top style="thin">
        <color indexed="64"/>
      </top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FFFFF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FFFFFF"/>
      </left>
      <right/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000000"/>
      </bottom>
      <diagonal/>
    </border>
    <border>
      <left/>
      <right style="thin">
        <color rgb="FFFFFFFF"/>
      </right>
      <top/>
      <bottom style="thin">
        <color rgb="FF000000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indexed="64"/>
      </right>
      <top/>
      <bottom style="thin">
        <color rgb="FFD9D9D9"/>
      </bottom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indexed="64"/>
      </right>
      <top/>
      <bottom style="thin">
        <color rgb="FFD9D9D9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/>
      <top style="thin">
        <color indexed="64"/>
      </top>
      <bottom style="thin">
        <color rgb="FFFFFFFF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rgb="FFFFFFFF"/>
      </right>
      <top style="thin">
        <color rgb="FFFFFFFF"/>
      </top>
      <bottom style="thin">
        <color rgb="FF000000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indexed="64"/>
      </right>
      <top style="thin">
        <color rgb="FFD9D9D9"/>
      </top>
      <bottom/>
      <diagonal/>
    </border>
    <border>
      <left style="thin">
        <color rgb="FFFFFFFF"/>
      </left>
      <right style="thin">
        <color indexed="64"/>
      </right>
      <top/>
      <bottom/>
      <diagonal/>
    </border>
    <border>
      <left style="thin">
        <color rgb="FFFFFFFF"/>
      </left>
      <right style="thin">
        <color indexed="64"/>
      </right>
      <top/>
      <bottom style="thin">
        <color rgb="FFFFFFFF"/>
      </bottom>
      <diagonal/>
    </border>
    <border>
      <left style="thin">
        <color rgb="FFFFFFFF"/>
      </left>
      <right style="thin">
        <color indexed="64"/>
      </right>
      <top style="thin">
        <color indexed="64"/>
      </top>
      <bottom style="thin">
        <color rgb="FFFFFFFF"/>
      </bottom>
      <diagonal/>
    </border>
    <border>
      <left style="thin">
        <color rgb="FFFFFFFF"/>
      </left>
      <right style="thin">
        <color indexed="64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indexed="64"/>
      </right>
      <top style="thin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indexed="64"/>
      </right>
      <top style="thin">
        <color rgb="FFFFFFFF"/>
      </top>
      <bottom/>
      <diagonal/>
    </border>
    <border>
      <left style="thin">
        <color rgb="FFFFFFFF"/>
      </left>
      <right style="thin">
        <color indexed="64"/>
      </right>
      <top style="thin">
        <color rgb="FFFFFFFF"/>
      </top>
      <bottom style="thin">
        <color rgb="FFFFFFFF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rgb="FFFFFFFF"/>
      </bottom>
      <diagonal/>
    </border>
    <border>
      <left style="thin">
        <color rgb="FFFFFFFF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FFFFFF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FFFFFF"/>
      </top>
      <bottom/>
      <diagonal/>
    </border>
    <border>
      <left/>
      <right style="thin">
        <color indexed="64"/>
      </right>
      <top style="thin">
        <color rgb="FFFFFFFF"/>
      </top>
      <bottom style="thin">
        <color rgb="FFFFFFFF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530">
    <xf numFmtId="0" fontId="0" fillId="0" borderId="0" xfId="0"/>
    <xf numFmtId="0" fontId="3" fillId="0" borderId="0" xfId="2" applyFont="1" applyAlignment="1">
      <alignment horizontal="center"/>
    </xf>
    <xf numFmtId="0" fontId="4" fillId="2" borderId="0" xfId="2" applyFont="1" applyFill="1" applyAlignment="1">
      <alignment vertical="center"/>
    </xf>
    <xf numFmtId="0" fontId="4" fillId="0" borderId="0" xfId="2" applyFont="1" applyAlignment="1">
      <alignment vertical="center"/>
    </xf>
    <xf numFmtId="0" fontId="6" fillId="0" borderId="0" xfId="2" applyFont="1" applyAlignment="1">
      <alignment horizontal="center"/>
    </xf>
    <xf numFmtId="0" fontId="2" fillId="0" borderId="0" xfId="2"/>
    <xf numFmtId="0" fontId="7" fillId="0" borderId="0" xfId="2" applyFont="1"/>
    <xf numFmtId="0" fontId="8" fillId="0" borderId="0" xfId="2" applyFont="1" applyAlignment="1">
      <alignment horizontal="center"/>
    </xf>
    <xf numFmtId="0" fontId="9" fillId="0" borderId="0" xfId="2" applyFont="1"/>
    <xf numFmtId="0" fontId="10" fillId="3" borderId="1" xfId="2" applyFont="1" applyFill="1" applyBorder="1" applyAlignment="1">
      <alignment horizontal="center"/>
    </xf>
    <xf numFmtId="3" fontId="11" fillId="4" borderId="2" xfId="2" applyNumberFormat="1" applyFont="1" applyFill="1" applyBorder="1" applyAlignment="1">
      <alignment horizontal="center" vertical="center"/>
    </xf>
    <xf numFmtId="3" fontId="11" fillId="3" borderId="2" xfId="2" applyNumberFormat="1" applyFont="1" applyFill="1" applyBorder="1" applyAlignment="1">
      <alignment horizontal="center" vertical="center"/>
    </xf>
    <xf numFmtId="0" fontId="3" fillId="0" borderId="3" xfId="2" applyFont="1" applyBorder="1" applyAlignment="1">
      <alignment horizontal="center"/>
    </xf>
    <xf numFmtId="0" fontId="10" fillId="5" borderId="1" xfId="2" applyFont="1" applyFill="1" applyBorder="1" applyAlignment="1">
      <alignment horizontal="center"/>
    </xf>
    <xf numFmtId="0" fontId="10" fillId="4" borderId="1" xfId="2" applyFont="1" applyFill="1" applyBorder="1" applyAlignment="1">
      <alignment horizontal="center"/>
    </xf>
    <xf numFmtId="0" fontId="13" fillId="0" borderId="5" xfId="2" applyFont="1" applyBorder="1"/>
    <xf numFmtId="3" fontId="15" fillId="5" borderId="1" xfId="2" applyNumberFormat="1" applyFont="1" applyFill="1" applyBorder="1" applyAlignment="1">
      <alignment horizontal="center" vertical="center"/>
    </xf>
    <xf numFmtId="3" fontId="15" fillId="5" borderId="2" xfId="2" applyNumberFormat="1" applyFont="1" applyFill="1" applyBorder="1" applyAlignment="1">
      <alignment horizontal="center" vertical="center"/>
    </xf>
    <xf numFmtId="0" fontId="9" fillId="0" borderId="7" xfId="2" applyFont="1" applyBorder="1"/>
    <xf numFmtId="0" fontId="16" fillId="0" borderId="8" xfId="2" applyFont="1" applyBorder="1" applyAlignment="1">
      <alignment horizontal="right" indent="2"/>
    </xf>
    <xf numFmtId="3" fontId="17" fillId="0" borderId="0" xfId="2" applyNumberFormat="1" applyFont="1"/>
    <xf numFmtId="164" fontId="18" fillId="0" borderId="9" xfId="2" applyNumberFormat="1" applyFont="1" applyBorder="1" applyAlignment="1">
      <alignment horizontal="center" vertical="center"/>
    </xf>
    <xf numFmtId="0" fontId="6" fillId="7" borderId="10" xfId="2" applyFont="1" applyFill="1" applyBorder="1" applyAlignment="1">
      <alignment horizontal="left"/>
    </xf>
    <xf numFmtId="164" fontId="6" fillId="7" borderId="9" xfId="2" applyNumberFormat="1" applyFont="1" applyFill="1" applyBorder="1" applyAlignment="1">
      <alignment horizontal="right"/>
    </xf>
    <xf numFmtId="0" fontId="19" fillId="0" borderId="0" xfId="0" applyFont="1"/>
    <xf numFmtId="164" fontId="10" fillId="8" borderId="9" xfId="2" applyNumberFormat="1" applyFont="1" applyFill="1" applyBorder="1" applyAlignment="1">
      <alignment horizontal="right"/>
    </xf>
    <xf numFmtId="0" fontId="3" fillId="9" borderId="0" xfId="1" applyNumberFormat="1" applyFont="1" applyFill="1" applyAlignment="1">
      <alignment horizontal="right" vertical="center" wrapText="1"/>
    </xf>
    <xf numFmtId="6" fontId="20" fillId="9" borderId="0" xfId="0" applyNumberFormat="1" applyFont="1" applyFill="1" applyAlignment="1">
      <alignment horizontal="center" vertical="center" wrapText="1"/>
    </xf>
    <xf numFmtId="0" fontId="8" fillId="0" borderId="3" xfId="2" applyFont="1" applyBorder="1"/>
    <xf numFmtId="0" fontId="21" fillId="0" borderId="8" xfId="2" applyFont="1" applyBorder="1" applyAlignment="1">
      <alignment horizontal="left"/>
    </xf>
    <xf numFmtId="9" fontId="21" fillId="9" borderId="9" xfId="1" applyFont="1" applyFill="1" applyBorder="1" applyAlignment="1">
      <alignment horizontal="right"/>
    </xf>
    <xf numFmtId="164" fontId="6" fillId="0" borderId="11" xfId="2" applyNumberFormat="1" applyFont="1" applyBorder="1" applyAlignment="1">
      <alignment horizontal="center" vertical="center"/>
    </xf>
    <xf numFmtId="164" fontId="6" fillId="0" borderId="5" xfId="2" applyNumberFormat="1" applyFont="1" applyBorder="1" applyAlignment="1">
      <alignment horizontal="center" vertical="center"/>
    </xf>
    <xf numFmtId="165" fontId="16" fillId="9" borderId="0" xfId="2" applyNumberFormat="1" applyFont="1" applyFill="1"/>
    <xf numFmtId="0" fontId="2" fillId="9" borderId="0" xfId="2" applyFill="1"/>
    <xf numFmtId="0" fontId="22" fillId="0" borderId="3" xfId="2" applyFont="1" applyBorder="1"/>
    <xf numFmtId="0" fontId="23" fillId="9" borderId="8" xfId="2" applyFont="1" applyFill="1" applyBorder="1" applyAlignment="1">
      <alignment horizontal="left"/>
    </xf>
    <xf numFmtId="164" fontId="6" fillId="9" borderId="9" xfId="2" applyNumberFormat="1" applyFont="1" applyFill="1" applyBorder="1" applyAlignment="1">
      <alignment horizontal="right"/>
    </xf>
    <xf numFmtId="0" fontId="19" fillId="9" borderId="0" xfId="0" applyFont="1" applyFill="1"/>
    <xf numFmtId="0" fontId="6" fillId="0" borderId="12" xfId="2" applyFont="1" applyBorder="1" applyAlignment="1">
      <alignment horizontal="left"/>
    </xf>
    <xf numFmtId="164" fontId="6" fillId="0" borderId="13" xfId="2" applyNumberFormat="1" applyFont="1" applyBorder="1" applyAlignment="1">
      <alignment horizontal="right"/>
    </xf>
    <xf numFmtId="0" fontId="24" fillId="0" borderId="14" xfId="2" applyFont="1" applyBorder="1" applyAlignment="1">
      <alignment horizontal="right"/>
    </xf>
    <xf numFmtId="166" fontId="21" fillId="0" borderId="14" xfId="2" applyNumberFormat="1" applyFont="1" applyBorder="1" applyAlignment="1">
      <alignment horizontal="right"/>
    </xf>
    <xf numFmtId="0" fontId="6" fillId="10" borderId="8" xfId="2" applyFont="1" applyFill="1" applyBorder="1"/>
    <xf numFmtId="3" fontId="6" fillId="10" borderId="9" xfId="2" applyNumberFormat="1" applyFont="1" applyFill="1" applyBorder="1"/>
    <xf numFmtId="164" fontId="6" fillId="10" borderId="9" xfId="2" applyNumberFormat="1" applyFont="1" applyFill="1" applyBorder="1" applyAlignment="1">
      <alignment horizontal="right"/>
    </xf>
    <xf numFmtId="3" fontId="2" fillId="0" borderId="0" xfId="2" applyNumberFormat="1"/>
    <xf numFmtId="0" fontId="8" fillId="0" borderId="10" xfId="2" applyFont="1" applyBorder="1"/>
    <xf numFmtId="0" fontId="24" fillId="11" borderId="0" xfId="2" applyFont="1" applyFill="1" applyAlignment="1">
      <alignment horizontal="right"/>
    </xf>
    <xf numFmtId="0" fontId="21" fillId="0" borderId="9" xfId="2" applyFont="1" applyBorder="1" applyAlignment="1">
      <alignment horizontal="right"/>
    </xf>
    <xf numFmtId="0" fontId="8" fillId="0" borderId="7" xfId="2" applyFont="1" applyBorder="1"/>
    <xf numFmtId="0" fontId="6" fillId="7" borderId="15" xfId="2" applyFont="1" applyFill="1" applyBorder="1" applyAlignment="1">
      <alignment horizontal="left"/>
    </xf>
    <xf numFmtId="164" fontId="6" fillId="7" borderId="16" xfId="2" applyNumberFormat="1" applyFont="1" applyFill="1" applyBorder="1" applyAlignment="1">
      <alignment horizontal="right"/>
    </xf>
    <xf numFmtId="0" fontId="6" fillId="9" borderId="11" xfId="2" applyFont="1" applyFill="1" applyBorder="1"/>
    <xf numFmtId="164" fontId="6" fillId="9" borderId="17" xfId="2" applyNumberFormat="1" applyFont="1" applyFill="1" applyBorder="1" applyAlignment="1">
      <alignment horizontal="right"/>
    </xf>
    <xf numFmtId="164" fontId="6" fillId="12" borderId="17" xfId="2" applyNumberFormat="1" applyFont="1" applyFill="1" applyBorder="1" applyAlignment="1">
      <alignment horizontal="right"/>
    </xf>
    <xf numFmtId="164" fontId="6" fillId="13" borderId="9" xfId="2" applyNumberFormat="1" applyFont="1" applyFill="1" applyBorder="1" applyAlignment="1">
      <alignment horizontal="right"/>
    </xf>
    <xf numFmtId="0" fontId="25" fillId="0" borderId="7" xfId="2" applyFont="1" applyBorder="1"/>
    <xf numFmtId="10" fontId="16" fillId="0" borderId="7" xfId="2" applyNumberFormat="1" applyFont="1" applyBorder="1" applyAlignment="1">
      <alignment horizontal="right"/>
    </xf>
    <xf numFmtId="9" fontId="23" fillId="0" borderId="11" xfId="2" applyNumberFormat="1" applyFont="1" applyBorder="1" applyAlignment="1">
      <alignment horizontal="right"/>
    </xf>
    <xf numFmtId="9" fontId="21" fillId="0" borderId="0" xfId="2" applyNumberFormat="1" applyFont="1" applyAlignment="1">
      <alignment horizontal="right"/>
    </xf>
    <xf numFmtId="0" fontId="18" fillId="0" borderId="0" xfId="2" applyFont="1" applyAlignment="1">
      <alignment horizontal="right"/>
    </xf>
    <xf numFmtId="3" fontId="21" fillId="0" borderId="0" xfId="2" applyNumberFormat="1" applyFont="1" applyAlignment="1">
      <alignment horizontal="right"/>
    </xf>
    <xf numFmtId="164" fontId="23" fillId="0" borderId="17" xfId="2" applyNumberFormat="1" applyFont="1" applyBorder="1" applyAlignment="1">
      <alignment horizontal="right"/>
    </xf>
    <xf numFmtId="10" fontId="24" fillId="0" borderId="7" xfId="2" applyNumberFormat="1" applyFont="1" applyBorder="1"/>
    <xf numFmtId="164" fontId="26" fillId="0" borderId="17" xfId="2" applyNumberFormat="1" applyFont="1" applyBorder="1" applyAlignment="1">
      <alignment horizontal="right"/>
    </xf>
    <xf numFmtId="164" fontId="2" fillId="0" borderId="0" xfId="2" applyNumberFormat="1"/>
    <xf numFmtId="9" fontId="16" fillId="0" borderId="11" xfId="2" applyNumberFormat="1" applyFont="1" applyBorder="1" applyAlignment="1">
      <alignment horizontal="right"/>
    </xf>
    <xf numFmtId="0" fontId="27" fillId="0" borderId="0" xfId="2" applyFont="1"/>
    <xf numFmtId="0" fontId="28" fillId="9" borderId="0" xfId="2" applyFont="1" applyFill="1" applyAlignment="1">
      <alignment horizontal="right"/>
    </xf>
    <xf numFmtId="164" fontId="28" fillId="9" borderId="0" xfId="2" applyNumberFormat="1" applyFont="1" applyFill="1" applyAlignment="1">
      <alignment horizontal="right"/>
    </xf>
    <xf numFmtId="0" fontId="24" fillId="0" borderId="0" xfId="2" applyFont="1"/>
    <xf numFmtId="0" fontId="6" fillId="0" borderId="15" xfId="2" applyFont="1" applyBorder="1" applyAlignment="1">
      <alignment horizontal="left"/>
    </xf>
    <xf numFmtId="164" fontId="6" fillId="0" borderId="15" xfId="2" applyNumberFormat="1" applyFont="1" applyBorder="1" applyAlignment="1">
      <alignment horizontal="right"/>
    </xf>
    <xf numFmtId="0" fontId="24" fillId="0" borderId="11" xfId="2" applyFont="1" applyBorder="1" applyAlignment="1">
      <alignment horizontal="right"/>
    </xf>
    <xf numFmtId="166" fontId="16" fillId="0" borderId="11" xfId="2" applyNumberFormat="1" applyFont="1" applyBorder="1" applyAlignment="1">
      <alignment horizontal="right"/>
    </xf>
    <xf numFmtId="164" fontId="6" fillId="0" borderId="16" xfId="2" applyNumberFormat="1" applyFont="1" applyBorder="1" applyAlignment="1">
      <alignment horizontal="right"/>
    </xf>
    <xf numFmtId="164" fontId="6" fillId="0" borderId="18" xfId="2" applyNumberFormat="1" applyFont="1" applyBorder="1" applyAlignment="1">
      <alignment horizontal="right"/>
    </xf>
    <xf numFmtId="0" fontId="8" fillId="0" borderId="19" xfId="2" applyFont="1" applyBorder="1"/>
    <xf numFmtId="164" fontId="8" fillId="0" borderId="19" xfId="2" applyNumberFormat="1" applyFont="1" applyBorder="1" applyAlignment="1">
      <alignment horizontal="right"/>
    </xf>
    <xf numFmtId="3" fontId="16" fillId="0" borderId="0" xfId="2" applyNumberFormat="1" applyFont="1" applyAlignment="1">
      <alignment horizontal="right"/>
    </xf>
    <xf numFmtId="164" fontId="6" fillId="0" borderId="0" xfId="2" applyNumberFormat="1" applyFont="1" applyAlignment="1">
      <alignment horizontal="right"/>
    </xf>
    <xf numFmtId="164" fontId="18" fillId="0" borderId="9" xfId="2" applyNumberFormat="1" applyFont="1" applyBorder="1" applyAlignment="1">
      <alignment horizontal="right"/>
    </xf>
    <xf numFmtId="0" fontId="24" fillId="0" borderId="9" xfId="2" applyFont="1" applyBorder="1" applyAlignment="1">
      <alignment horizontal="right"/>
    </xf>
    <xf numFmtId="0" fontId="29" fillId="0" borderId="7" xfId="2" applyFont="1" applyBorder="1"/>
    <xf numFmtId="0" fontId="8" fillId="0" borderId="0" xfId="2" applyFont="1"/>
    <xf numFmtId="164" fontId="18" fillId="0" borderId="0" xfId="2" applyNumberFormat="1" applyFont="1" applyAlignment="1">
      <alignment horizontal="right"/>
    </xf>
    <xf numFmtId="0" fontId="29" fillId="0" borderId="0" xfId="2" applyFont="1"/>
    <xf numFmtId="3" fontId="11" fillId="3" borderId="20" xfId="2" applyNumberFormat="1" applyFont="1" applyFill="1" applyBorder="1" applyAlignment="1">
      <alignment horizontal="center" vertical="center"/>
    </xf>
    <xf numFmtId="0" fontId="10" fillId="5" borderId="21" xfId="2" applyFont="1" applyFill="1" applyBorder="1" applyAlignment="1">
      <alignment horizontal="center"/>
    </xf>
    <xf numFmtId="0" fontId="10" fillId="15" borderId="0" xfId="2" applyFont="1" applyFill="1" applyAlignment="1">
      <alignment horizontal="center"/>
    </xf>
    <xf numFmtId="0" fontId="10" fillId="3" borderId="22" xfId="2" applyFont="1" applyFill="1" applyBorder="1" applyAlignment="1">
      <alignment horizontal="center"/>
    </xf>
    <xf numFmtId="3" fontId="15" fillId="5" borderId="23" xfId="2" applyNumberFormat="1" applyFont="1" applyFill="1" applyBorder="1" applyAlignment="1">
      <alignment horizontal="center" vertical="center"/>
    </xf>
    <xf numFmtId="3" fontId="15" fillId="5" borderId="4" xfId="2" applyNumberFormat="1" applyFont="1" applyFill="1" applyBorder="1" applyAlignment="1">
      <alignment horizontal="center" vertical="center"/>
    </xf>
    <xf numFmtId="3" fontId="11" fillId="15" borderId="0" xfId="2" applyNumberFormat="1" applyFont="1" applyFill="1" applyAlignment="1">
      <alignment horizontal="center" vertical="center"/>
    </xf>
    <xf numFmtId="0" fontId="6" fillId="16" borderId="0" xfId="2" applyFont="1" applyFill="1" applyAlignment="1">
      <alignment horizontal="left"/>
    </xf>
    <xf numFmtId="164" fontId="6" fillId="10" borderId="0" xfId="2" applyNumberFormat="1" applyFont="1" applyFill="1" applyAlignment="1">
      <alignment horizontal="right"/>
    </xf>
    <xf numFmtId="164" fontId="6" fillId="9" borderId="0" xfId="2" applyNumberFormat="1" applyFont="1" applyFill="1" applyAlignment="1">
      <alignment horizontal="right"/>
    </xf>
    <xf numFmtId="164" fontId="6" fillId="10" borderId="24" xfId="2" applyNumberFormat="1" applyFont="1" applyFill="1" applyBorder="1" applyAlignment="1">
      <alignment horizontal="right"/>
    </xf>
    <xf numFmtId="0" fontId="3" fillId="0" borderId="0" xfId="0" applyFont="1"/>
    <xf numFmtId="164" fontId="23" fillId="0" borderId="0" xfId="2" applyNumberFormat="1" applyFont="1" applyAlignment="1">
      <alignment horizontal="right"/>
    </xf>
    <xf numFmtId="164" fontId="6" fillId="0" borderId="25" xfId="2" applyNumberFormat="1" applyFont="1" applyBorder="1" applyAlignment="1">
      <alignment horizontal="right"/>
    </xf>
    <xf numFmtId="164" fontId="23" fillId="0" borderId="10" xfId="2" applyNumberFormat="1" applyFont="1" applyBorder="1" applyAlignment="1">
      <alignment horizontal="right"/>
    </xf>
    <xf numFmtId="164" fontId="6" fillId="0" borderId="26" xfId="2" applyNumberFormat="1" applyFont="1" applyBorder="1" applyAlignment="1">
      <alignment horizontal="right"/>
    </xf>
    <xf numFmtId="0" fontId="9" fillId="17" borderId="0" xfId="0" applyFont="1" applyFill="1"/>
    <xf numFmtId="164" fontId="6" fillId="17" borderId="0" xfId="2" applyNumberFormat="1" applyFont="1" applyFill="1" applyAlignment="1">
      <alignment horizontal="right"/>
    </xf>
    <xf numFmtId="0" fontId="6" fillId="16" borderId="27" xfId="2" applyFont="1" applyFill="1" applyBorder="1" applyAlignment="1">
      <alignment horizontal="left"/>
    </xf>
    <xf numFmtId="164" fontId="6" fillId="10" borderId="15" xfId="2" applyNumberFormat="1" applyFont="1" applyFill="1" applyBorder="1" applyAlignment="1">
      <alignment horizontal="right"/>
    </xf>
    <xf numFmtId="164" fontId="6" fillId="10" borderId="28" xfId="2" applyNumberFormat="1" applyFont="1" applyFill="1" applyBorder="1" applyAlignment="1">
      <alignment horizontal="right"/>
    </xf>
    <xf numFmtId="0" fontId="18" fillId="18" borderId="0" xfId="2" applyFont="1" applyFill="1"/>
    <xf numFmtId="3" fontId="16" fillId="9" borderId="0" xfId="2" applyNumberFormat="1" applyFont="1" applyFill="1" applyAlignment="1">
      <alignment horizontal="right"/>
    </xf>
    <xf numFmtId="3" fontId="16" fillId="0" borderId="25" xfId="2" applyNumberFormat="1" applyFont="1" applyBorder="1" applyAlignment="1">
      <alignment horizontal="right"/>
    </xf>
    <xf numFmtId="0" fontId="18" fillId="19" borderId="0" xfId="2" applyFont="1" applyFill="1"/>
    <xf numFmtId="0" fontId="6" fillId="19" borderId="0" xfId="2" applyFont="1" applyFill="1" applyAlignment="1">
      <alignment horizontal="left"/>
    </xf>
    <xf numFmtId="164" fontId="6" fillId="0" borderId="24" xfId="2" applyNumberFormat="1" applyFont="1" applyBorder="1" applyAlignment="1">
      <alignment horizontal="right"/>
    </xf>
    <xf numFmtId="0" fontId="6" fillId="16" borderId="29" xfId="2" applyFont="1" applyFill="1" applyBorder="1" applyAlignment="1">
      <alignment horizontal="left"/>
    </xf>
    <xf numFmtId="164" fontId="6" fillId="10" borderId="30" xfId="2" applyNumberFormat="1" applyFont="1" applyFill="1" applyBorder="1" applyAlignment="1">
      <alignment horizontal="right"/>
    </xf>
    <xf numFmtId="164" fontId="6" fillId="10" borderId="12" xfId="2" applyNumberFormat="1" applyFont="1" applyFill="1" applyBorder="1" applyAlignment="1">
      <alignment horizontal="right"/>
    </xf>
    <xf numFmtId="164" fontId="6" fillId="10" borderId="31" xfId="2" applyNumberFormat="1" applyFont="1" applyFill="1" applyBorder="1" applyAlignment="1">
      <alignment horizontal="right"/>
    </xf>
    <xf numFmtId="164" fontId="6" fillId="10" borderId="32" xfId="2" applyNumberFormat="1" applyFont="1" applyFill="1" applyBorder="1" applyAlignment="1">
      <alignment horizontal="right"/>
    </xf>
    <xf numFmtId="0" fontId="21" fillId="18" borderId="0" xfId="2" applyFont="1" applyFill="1" applyAlignment="1">
      <alignment horizontal="left"/>
    </xf>
    <xf numFmtId="164" fontId="21" fillId="0" borderId="33" xfId="2" applyNumberFormat="1" applyFont="1" applyBorder="1" applyAlignment="1">
      <alignment horizontal="right"/>
    </xf>
    <xf numFmtId="0" fontId="24" fillId="0" borderId="0" xfId="2" applyFont="1" applyAlignment="1">
      <alignment horizontal="right"/>
    </xf>
    <xf numFmtId="10" fontId="24" fillId="0" borderId="0" xfId="2" applyNumberFormat="1" applyFont="1"/>
    <xf numFmtId="10" fontId="24" fillId="9" borderId="0" xfId="2" applyNumberFormat="1" applyFont="1" applyFill="1"/>
    <xf numFmtId="0" fontId="30" fillId="0" borderId="0" xfId="0" applyFont="1"/>
    <xf numFmtId="10" fontId="24" fillId="0" borderId="25" xfId="2" applyNumberFormat="1" applyFont="1" applyBorder="1"/>
    <xf numFmtId="0" fontId="31" fillId="0" borderId="0" xfId="2" applyFont="1"/>
    <xf numFmtId="0" fontId="28" fillId="10" borderId="0" xfId="2" applyFont="1" applyFill="1" applyAlignment="1">
      <alignment horizontal="left"/>
    </xf>
    <xf numFmtId="164" fontId="6" fillId="10" borderId="10" xfId="2" applyNumberFormat="1" applyFont="1" applyFill="1" applyBorder="1" applyAlignment="1">
      <alignment horizontal="right"/>
    </xf>
    <xf numFmtId="164" fontId="6" fillId="10" borderId="34" xfId="2" applyNumberFormat="1" applyFont="1" applyFill="1" applyBorder="1" applyAlignment="1">
      <alignment horizontal="right"/>
    </xf>
    <xf numFmtId="0" fontId="28" fillId="9" borderId="0" xfId="2" applyFont="1" applyFill="1" applyAlignment="1">
      <alignment horizontal="left"/>
    </xf>
    <xf numFmtId="0" fontId="0" fillId="9" borderId="0" xfId="0" applyFill="1"/>
    <xf numFmtId="9" fontId="0" fillId="9" borderId="0" xfId="1" applyFont="1" applyFill="1"/>
    <xf numFmtId="164" fontId="23" fillId="20" borderId="35" xfId="2" applyNumberFormat="1" applyFont="1" applyFill="1" applyBorder="1" applyAlignment="1">
      <alignment horizontal="right"/>
    </xf>
    <xf numFmtId="164" fontId="23" fillId="9" borderId="0" xfId="2" applyNumberFormat="1" applyFont="1" applyFill="1"/>
    <xf numFmtId="164" fontId="23" fillId="20" borderId="0" xfId="2" applyNumberFormat="1" applyFont="1" applyFill="1" applyAlignment="1">
      <alignment horizontal="right"/>
    </xf>
    <xf numFmtId="3" fontId="3" fillId="9" borderId="0" xfId="0" applyNumberFormat="1" applyFont="1" applyFill="1"/>
    <xf numFmtId="3" fontId="23" fillId="9" borderId="0" xfId="2" applyNumberFormat="1" applyFont="1" applyFill="1"/>
    <xf numFmtId="164" fontId="23" fillId="9" borderId="0" xfId="2" applyNumberFormat="1" applyFont="1" applyFill="1" applyAlignment="1">
      <alignment horizontal="right"/>
    </xf>
    <xf numFmtId="164" fontId="23" fillId="9" borderId="9" xfId="2" applyNumberFormat="1" applyFont="1" applyFill="1" applyBorder="1" applyAlignment="1">
      <alignment horizontal="right"/>
    </xf>
    <xf numFmtId="164" fontId="18" fillId="9" borderId="0" xfId="2" applyNumberFormat="1" applyFont="1" applyFill="1" applyAlignment="1">
      <alignment horizontal="right"/>
    </xf>
    <xf numFmtId="167" fontId="2" fillId="0" borderId="0" xfId="2" applyNumberFormat="1"/>
    <xf numFmtId="9" fontId="2" fillId="0" borderId="0" xfId="2" applyNumberFormat="1"/>
    <xf numFmtId="0" fontId="34" fillId="0" borderId="0" xfId="0" applyFont="1"/>
    <xf numFmtId="0" fontId="35" fillId="0" borderId="0" xfId="0" applyFont="1"/>
    <xf numFmtId="0" fontId="36" fillId="21" borderId="1" xfId="0" applyFont="1" applyFill="1" applyBorder="1"/>
    <xf numFmtId="0" fontId="37" fillId="22" borderId="1" xfId="0" applyFont="1" applyFill="1" applyBorder="1"/>
    <xf numFmtId="0" fontId="36" fillId="23" borderId="36" xfId="0" applyFont="1" applyFill="1" applyBorder="1"/>
    <xf numFmtId="0" fontId="41" fillId="0" borderId="0" xfId="0" applyFont="1"/>
    <xf numFmtId="0" fontId="42" fillId="0" borderId="0" xfId="0" applyFont="1"/>
    <xf numFmtId="6" fontId="36" fillId="25" borderId="9" xfId="0" applyNumberFormat="1" applyFont="1" applyFill="1" applyBorder="1"/>
    <xf numFmtId="0" fontId="43" fillId="26" borderId="0" xfId="0" applyFont="1" applyFill="1" applyAlignment="1">
      <alignment wrapText="1"/>
    </xf>
    <xf numFmtId="0" fontId="34" fillId="26" borderId="0" xfId="0" applyFont="1" applyFill="1"/>
    <xf numFmtId="0" fontId="42" fillId="26" borderId="0" xfId="0" applyFont="1" applyFill="1"/>
    <xf numFmtId="0" fontId="44" fillId="0" borderId="10" xfId="0" applyFont="1" applyBorder="1"/>
    <xf numFmtId="0" fontId="45" fillId="0" borderId="0" xfId="0" applyFont="1"/>
    <xf numFmtId="0" fontId="46" fillId="0" borderId="35" xfId="0" applyFont="1" applyBorder="1"/>
    <xf numFmtId="0" fontId="46" fillId="0" borderId="10" xfId="0" applyFont="1" applyBorder="1"/>
    <xf numFmtId="0" fontId="46" fillId="0" borderId="0" xfId="0" applyFont="1"/>
    <xf numFmtId="0" fontId="37" fillId="21" borderId="20" xfId="0" applyFont="1" applyFill="1" applyBorder="1"/>
    <xf numFmtId="0" fontId="36" fillId="23" borderId="42" xfId="0" applyFont="1" applyFill="1" applyBorder="1"/>
    <xf numFmtId="0" fontId="36" fillId="32" borderId="0" xfId="0" applyFont="1" applyFill="1"/>
    <xf numFmtId="0" fontId="36" fillId="21" borderId="43" xfId="0" applyFont="1" applyFill="1" applyBorder="1"/>
    <xf numFmtId="0" fontId="40" fillId="23" borderId="44" xfId="0" applyFont="1" applyFill="1" applyBorder="1"/>
    <xf numFmtId="0" fontId="40" fillId="23" borderId="0" xfId="0" applyFont="1" applyFill="1"/>
    <xf numFmtId="0" fontId="37" fillId="32" borderId="0" xfId="0" applyFont="1" applyFill="1"/>
    <xf numFmtId="0" fontId="37" fillId="21" borderId="45" xfId="0" applyFont="1" applyFill="1" applyBorder="1"/>
    <xf numFmtId="0" fontId="47" fillId="0" borderId="0" xfId="0" applyFont="1"/>
    <xf numFmtId="0" fontId="48" fillId="35" borderId="48" xfId="0" applyFont="1" applyFill="1" applyBorder="1" applyAlignment="1">
      <alignment vertical="center"/>
    </xf>
    <xf numFmtId="0" fontId="48" fillId="35" borderId="0" xfId="0" applyFont="1" applyFill="1" applyAlignment="1">
      <alignment vertical="center"/>
    </xf>
    <xf numFmtId="0" fontId="33" fillId="35" borderId="0" xfId="0" applyFont="1" applyFill="1" applyAlignment="1">
      <alignment vertical="center"/>
    </xf>
    <xf numFmtId="166" fontId="21" fillId="0" borderId="49" xfId="2" applyNumberFormat="1" applyFont="1" applyBorder="1" applyAlignment="1">
      <alignment horizontal="right"/>
    </xf>
    <xf numFmtId="9" fontId="23" fillId="0" borderId="17" xfId="2" applyNumberFormat="1" applyFont="1" applyBorder="1" applyAlignment="1">
      <alignment horizontal="right"/>
    </xf>
    <xf numFmtId="9" fontId="16" fillId="0" borderId="17" xfId="2" applyNumberFormat="1" applyFont="1" applyBorder="1" applyAlignment="1">
      <alignment horizontal="right"/>
    </xf>
    <xf numFmtId="166" fontId="16" fillId="0" borderId="17" xfId="2" applyNumberFormat="1" applyFont="1" applyBorder="1" applyAlignment="1">
      <alignment horizontal="right"/>
    </xf>
    <xf numFmtId="3" fontId="15" fillId="5" borderId="50" xfId="2" applyNumberFormat="1" applyFont="1" applyFill="1" applyBorder="1" applyAlignment="1">
      <alignment horizontal="center" vertical="center"/>
    </xf>
    <xf numFmtId="164" fontId="23" fillId="0" borderId="35" xfId="2" applyNumberFormat="1" applyFont="1" applyBorder="1" applyAlignment="1">
      <alignment horizontal="right"/>
    </xf>
    <xf numFmtId="164" fontId="6" fillId="10" borderId="16" xfId="2" applyNumberFormat="1" applyFont="1" applyFill="1" applyBorder="1" applyAlignment="1">
      <alignment horizontal="right"/>
    </xf>
    <xf numFmtId="164" fontId="6" fillId="10" borderId="27" xfId="2" applyNumberFormat="1" applyFont="1" applyFill="1" applyBorder="1" applyAlignment="1">
      <alignment horizontal="right"/>
    </xf>
    <xf numFmtId="164" fontId="6" fillId="10" borderId="35" xfId="2" applyNumberFormat="1" applyFont="1" applyFill="1" applyBorder="1" applyAlignment="1">
      <alignment horizontal="right"/>
    </xf>
    <xf numFmtId="0" fontId="7" fillId="0" borderId="48" xfId="2" applyFont="1" applyBorder="1"/>
    <xf numFmtId="0" fontId="9" fillId="0" borderId="48" xfId="2" applyFont="1" applyBorder="1"/>
    <xf numFmtId="0" fontId="16" fillId="0" borderId="52" xfId="2" applyFont="1" applyBorder="1" applyAlignment="1">
      <alignment horizontal="right" indent="2"/>
    </xf>
    <xf numFmtId="0" fontId="6" fillId="7" borderId="53" xfId="2" applyFont="1" applyFill="1" applyBorder="1" applyAlignment="1">
      <alignment horizontal="left"/>
    </xf>
    <xf numFmtId="0" fontId="21" fillId="0" borderId="52" xfId="2" applyFont="1" applyBorder="1" applyAlignment="1">
      <alignment horizontal="left"/>
    </xf>
    <xf numFmtId="0" fontId="23" fillId="9" borderId="52" xfId="2" applyFont="1" applyFill="1" applyBorder="1" applyAlignment="1">
      <alignment horizontal="left"/>
    </xf>
    <xf numFmtId="0" fontId="6" fillId="0" borderId="54" xfId="2" applyFont="1" applyBorder="1" applyAlignment="1">
      <alignment horizontal="left"/>
    </xf>
    <xf numFmtId="0" fontId="24" fillId="0" borderId="55" xfId="2" applyFont="1" applyBorder="1" applyAlignment="1">
      <alignment horizontal="right"/>
    </xf>
    <xf numFmtId="0" fontId="6" fillId="10" borderId="52" xfId="2" applyFont="1" applyFill="1" applyBorder="1"/>
    <xf numFmtId="0" fontId="24" fillId="11" borderId="48" xfId="2" applyFont="1" applyFill="1" applyBorder="1" applyAlignment="1">
      <alignment horizontal="right"/>
    </xf>
    <xf numFmtId="0" fontId="6" fillId="7" borderId="56" xfId="2" applyFont="1" applyFill="1" applyBorder="1" applyAlignment="1">
      <alignment horizontal="left"/>
    </xf>
    <xf numFmtId="0" fontId="6" fillId="9" borderId="57" xfId="2" applyFont="1" applyFill="1" applyBorder="1"/>
    <xf numFmtId="10" fontId="16" fillId="0" borderId="58" xfId="2" applyNumberFormat="1" applyFont="1" applyBorder="1" applyAlignment="1">
      <alignment horizontal="right"/>
    </xf>
    <xf numFmtId="0" fontId="18" fillId="0" borderId="48" xfId="2" applyFont="1" applyBorder="1" applyAlignment="1">
      <alignment horizontal="right"/>
    </xf>
    <xf numFmtId="0" fontId="28" fillId="9" borderId="48" xfId="2" applyFont="1" applyFill="1" applyBorder="1" applyAlignment="1">
      <alignment horizontal="right"/>
    </xf>
    <xf numFmtId="0" fontId="6" fillId="0" borderId="56" xfId="2" applyFont="1" applyBorder="1" applyAlignment="1">
      <alignment horizontal="left"/>
    </xf>
    <xf numFmtId="0" fontId="24" fillId="0" borderId="57" xfId="2" applyFont="1" applyBorder="1" applyAlignment="1">
      <alignment horizontal="right"/>
    </xf>
    <xf numFmtId="164" fontId="18" fillId="0" borderId="48" xfId="2" applyNumberFormat="1" applyFont="1" applyBorder="1" applyAlignment="1">
      <alignment horizontal="right"/>
    </xf>
    <xf numFmtId="0" fontId="6" fillId="16" borderId="48" xfId="2" applyFont="1" applyFill="1" applyBorder="1" applyAlignment="1">
      <alignment horizontal="left"/>
    </xf>
    <xf numFmtId="0" fontId="3" fillId="0" borderId="48" xfId="0" applyFont="1" applyBorder="1"/>
    <xf numFmtId="0" fontId="9" fillId="17" borderId="48" xfId="0" applyFont="1" applyFill="1" applyBorder="1"/>
    <xf numFmtId="0" fontId="6" fillId="16" borderId="59" xfId="2" applyFont="1" applyFill="1" applyBorder="1" applyAlignment="1">
      <alignment horizontal="left"/>
    </xf>
    <xf numFmtId="0" fontId="18" fillId="18" borderId="48" xfId="2" applyFont="1" applyFill="1" applyBorder="1"/>
    <xf numFmtId="0" fontId="18" fillId="19" borderId="48" xfId="2" applyFont="1" applyFill="1" applyBorder="1"/>
    <xf numFmtId="0" fontId="6" fillId="19" borderId="48" xfId="2" applyFont="1" applyFill="1" applyBorder="1" applyAlignment="1">
      <alignment horizontal="left"/>
    </xf>
    <xf numFmtId="0" fontId="21" fillId="18" borderId="48" xfId="2" applyFont="1" applyFill="1" applyBorder="1" applyAlignment="1">
      <alignment horizontal="left"/>
    </xf>
    <xf numFmtId="0" fontId="28" fillId="10" borderId="48" xfId="2" applyFont="1" applyFill="1" applyBorder="1" applyAlignment="1">
      <alignment horizontal="left"/>
    </xf>
    <xf numFmtId="0" fontId="28" fillId="9" borderId="48" xfId="2" applyFont="1" applyFill="1" applyBorder="1" applyAlignment="1">
      <alignment horizontal="left"/>
    </xf>
    <xf numFmtId="164" fontId="32" fillId="9" borderId="48" xfId="2" applyNumberFormat="1" applyFont="1" applyFill="1" applyBorder="1" applyAlignment="1">
      <alignment horizontal="left"/>
    </xf>
    <xf numFmtId="0" fontId="2" fillId="0" borderId="48" xfId="2" applyBorder="1"/>
    <xf numFmtId="0" fontId="0" fillId="9" borderId="48" xfId="0" applyFill="1" applyBorder="1"/>
    <xf numFmtId="0" fontId="3" fillId="0" borderId="48" xfId="0" applyFont="1" applyBorder="1" applyAlignment="1">
      <alignment vertical="center"/>
    </xf>
    <xf numFmtId="0" fontId="0" fillId="12" borderId="0" xfId="0" applyFill="1"/>
    <xf numFmtId="0" fontId="6" fillId="12" borderId="0" xfId="2" applyFont="1" applyFill="1" applyAlignment="1">
      <alignment horizontal="center"/>
    </xf>
    <xf numFmtId="0" fontId="2" fillId="12" borderId="0" xfId="2" applyFill="1"/>
    <xf numFmtId="0" fontId="18" fillId="9" borderId="48" xfId="2" applyFont="1" applyFill="1" applyBorder="1" applyAlignment="1">
      <alignment horizontal="right"/>
    </xf>
    <xf numFmtId="0" fontId="35" fillId="0" borderId="48" xfId="0" applyFont="1" applyBorder="1"/>
    <xf numFmtId="0" fontId="34" fillId="0" borderId="48" xfId="0" applyFont="1" applyBorder="1"/>
    <xf numFmtId="0" fontId="37" fillId="21" borderId="1" xfId="0" applyFont="1" applyFill="1" applyBorder="1" applyAlignment="1">
      <alignment vertical="center"/>
    </xf>
    <xf numFmtId="3" fontId="49" fillId="9" borderId="0" xfId="2" applyNumberFormat="1" applyFont="1" applyFill="1"/>
    <xf numFmtId="0" fontId="50" fillId="0" borderId="0" xfId="2" applyFont="1" applyAlignment="1">
      <alignment horizontal="center"/>
    </xf>
    <xf numFmtId="0" fontId="51" fillId="35" borderId="48" xfId="0" applyFont="1" applyFill="1" applyBorder="1" applyAlignment="1">
      <alignment vertical="center"/>
    </xf>
    <xf numFmtId="0" fontId="51" fillId="35" borderId="0" xfId="0" applyFont="1" applyFill="1" applyAlignment="1">
      <alignment vertical="center"/>
    </xf>
    <xf numFmtId="0" fontId="52" fillId="35" borderId="0" xfId="0" applyFont="1" applyFill="1" applyAlignment="1">
      <alignment vertical="center"/>
    </xf>
    <xf numFmtId="0" fontId="53" fillId="12" borderId="0" xfId="2" applyFont="1" applyFill="1" applyAlignment="1">
      <alignment horizontal="center"/>
    </xf>
    <xf numFmtId="0" fontId="54" fillId="0" borderId="48" xfId="2" applyFont="1" applyBorder="1"/>
    <xf numFmtId="0" fontId="54" fillId="0" borderId="0" xfId="2" applyFont="1"/>
    <xf numFmtId="0" fontId="53" fillId="0" borderId="0" xfId="2" applyFont="1" applyAlignment="1">
      <alignment horizontal="center"/>
    </xf>
    <xf numFmtId="0" fontId="55" fillId="0" borderId="0" xfId="2" applyFont="1" applyAlignment="1">
      <alignment horizontal="center"/>
    </xf>
    <xf numFmtId="0" fontId="56" fillId="0" borderId="48" xfId="2" applyFont="1" applyBorder="1"/>
    <xf numFmtId="0" fontId="57" fillId="3" borderId="1" xfId="2" applyFont="1" applyFill="1" applyBorder="1" applyAlignment="1">
      <alignment horizontal="center"/>
    </xf>
    <xf numFmtId="3" fontId="58" fillId="4" borderId="2" xfId="2" applyNumberFormat="1" applyFont="1" applyFill="1" applyBorder="1" applyAlignment="1">
      <alignment horizontal="center" vertical="center"/>
    </xf>
    <xf numFmtId="0" fontId="59" fillId="21" borderId="1" xfId="0" applyFont="1" applyFill="1" applyBorder="1" applyAlignment="1">
      <alignment vertical="center"/>
    </xf>
    <xf numFmtId="3" fontId="58" fillId="3" borderId="2" xfId="2" applyNumberFormat="1" applyFont="1" applyFill="1" applyBorder="1" applyAlignment="1">
      <alignment horizontal="center" vertical="center"/>
    </xf>
    <xf numFmtId="0" fontId="50" fillId="0" borderId="3" xfId="2" applyFont="1" applyBorder="1" applyAlignment="1">
      <alignment horizontal="center"/>
    </xf>
    <xf numFmtId="0" fontId="57" fillId="5" borderId="1" xfId="2" applyFont="1" applyFill="1" applyBorder="1" applyAlignment="1">
      <alignment horizontal="center"/>
    </xf>
    <xf numFmtId="0" fontId="57" fillId="4" borderId="1" xfId="2" applyFont="1" applyFill="1" applyBorder="1" applyAlignment="1">
      <alignment horizontal="center"/>
    </xf>
    <xf numFmtId="0" fontId="61" fillId="0" borderId="5" xfId="2" applyFont="1" applyBorder="1"/>
    <xf numFmtId="3" fontId="63" fillId="5" borderId="1" xfId="2" applyNumberFormat="1" applyFont="1" applyFill="1" applyBorder="1" applyAlignment="1">
      <alignment horizontal="center" vertical="center"/>
    </xf>
    <xf numFmtId="3" fontId="63" fillId="5" borderId="2" xfId="2" applyNumberFormat="1" applyFont="1" applyFill="1" applyBorder="1" applyAlignment="1">
      <alignment horizontal="center" vertical="center"/>
    </xf>
    <xf numFmtId="0" fontId="56" fillId="0" borderId="7" xfId="2" applyFont="1" applyBorder="1"/>
    <xf numFmtId="0" fontId="64" fillId="0" borderId="52" xfId="2" applyFont="1" applyBorder="1" applyAlignment="1">
      <alignment horizontal="right" indent="2"/>
    </xf>
    <xf numFmtId="164" fontId="65" fillId="0" borderId="9" xfId="2" applyNumberFormat="1" applyFont="1" applyBorder="1" applyAlignment="1">
      <alignment horizontal="center" vertical="center"/>
    </xf>
    <xf numFmtId="0" fontId="53" fillId="7" borderId="53" xfId="2" applyFont="1" applyFill="1" applyBorder="1" applyAlignment="1">
      <alignment horizontal="left"/>
    </xf>
    <xf numFmtId="164" fontId="53" fillId="7" borderId="9" xfId="2" applyNumberFormat="1" applyFont="1" applyFill="1" applyBorder="1" applyAlignment="1">
      <alignment horizontal="right"/>
    </xf>
    <xf numFmtId="164" fontId="57" fillId="8" borderId="9" xfId="2" applyNumberFormat="1" applyFont="1" applyFill="1" applyBorder="1" applyAlignment="1">
      <alignment horizontal="right"/>
    </xf>
    <xf numFmtId="0" fontId="50" fillId="9" borderId="0" xfId="1" applyNumberFormat="1" applyFont="1" applyFill="1" applyAlignment="1">
      <alignment horizontal="right" vertical="center" wrapText="1"/>
    </xf>
    <xf numFmtId="6" fontId="66" fillId="9" borderId="0" xfId="0" applyNumberFormat="1" applyFont="1" applyFill="1" applyAlignment="1">
      <alignment horizontal="center" vertical="center" wrapText="1"/>
    </xf>
    <xf numFmtId="0" fontId="55" fillId="0" borderId="3" xfId="2" applyFont="1" applyBorder="1"/>
    <xf numFmtId="0" fontId="67" fillId="0" borderId="52" xfId="2" applyFont="1" applyBorder="1" applyAlignment="1">
      <alignment horizontal="left"/>
    </xf>
    <xf numFmtId="9" fontId="67" fillId="9" borderId="9" xfId="1" applyFont="1" applyFill="1" applyBorder="1" applyAlignment="1">
      <alignment horizontal="right"/>
    </xf>
    <xf numFmtId="164" fontId="53" fillId="0" borderId="11" xfId="2" applyNumberFormat="1" applyFont="1" applyBorder="1" applyAlignment="1">
      <alignment horizontal="center" vertical="center"/>
    </xf>
    <xf numFmtId="164" fontId="53" fillId="0" borderId="5" xfId="2" applyNumberFormat="1" applyFont="1" applyBorder="1" applyAlignment="1">
      <alignment horizontal="center" vertical="center"/>
    </xf>
    <xf numFmtId="165" fontId="64" fillId="9" borderId="0" xfId="2" applyNumberFormat="1" applyFont="1" applyFill="1"/>
    <xf numFmtId="0" fontId="68" fillId="0" borderId="3" xfId="2" applyFont="1" applyBorder="1"/>
    <xf numFmtId="0" fontId="49" fillId="9" borderId="52" xfId="2" applyFont="1" applyFill="1" applyBorder="1" applyAlignment="1">
      <alignment horizontal="left"/>
    </xf>
    <xf numFmtId="164" fontId="49" fillId="9" borderId="9" xfId="2" applyNumberFormat="1" applyFont="1" applyFill="1" applyBorder="1" applyAlignment="1">
      <alignment horizontal="right"/>
    </xf>
    <xf numFmtId="0" fontId="53" fillId="0" borderId="54" xfId="2" applyFont="1" applyBorder="1" applyAlignment="1">
      <alignment horizontal="left"/>
    </xf>
    <xf numFmtId="164" fontId="53" fillId="0" borderId="13" xfId="2" applyNumberFormat="1" applyFont="1" applyBorder="1" applyAlignment="1">
      <alignment horizontal="right"/>
    </xf>
    <xf numFmtId="0" fontId="69" fillId="0" borderId="55" xfId="2" applyFont="1" applyBorder="1" applyAlignment="1">
      <alignment horizontal="right"/>
    </xf>
    <xf numFmtId="166" fontId="67" fillId="0" borderId="49" xfId="2" applyNumberFormat="1" applyFont="1" applyBorder="1" applyAlignment="1">
      <alignment horizontal="right"/>
    </xf>
    <xf numFmtId="166" fontId="67" fillId="0" borderId="14" xfId="2" applyNumberFormat="1" applyFont="1" applyBorder="1" applyAlignment="1">
      <alignment horizontal="right"/>
    </xf>
    <xf numFmtId="0" fontId="53" fillId="10" borderId="52" xfId="2" applyFont="1" applyFill="1" applyBorder="1"/>
    <xf numFmtId="3" fontId="53" fillId="10" borderId="9" xfId="2" applyNumberFormat="1" applyFont="1" applyFill="1" applyBorder="1"/>
    <xf numFmtId="164" fontId="53" fillId="10" borderId="9" xfId="2" applyNumberFormat="1" applyFont="1" applyFill="1" applyBorder="1" applyAlignment="1">
      <alignment horizontal="right"/>
    </xf>
    <xf numFmtId="0" fontId="55" fillId="0" borderId="10" xfId="2" applyFont="1" applyBorder="1"/>
    <xf numFmtId="0" fontId="69" fillId="11" borderId="48" xfId="2" applyFont="1" applyFill="1" applyBorder="1" applyAlignment="1">
      <alignment horizontal="right"/>
    </xf>
    <xf numFmtId="0" fontId="67" fillId="0" borderId="9" xfId="2" applyFont="1" applyBorder="1" applyAlignment="1">
      <alignment horizontal="right"/>
    </xf>
    <xf numFmtId="0" fontId="55" fillId="0" borderId="7" xfId="2" applyFont="1" applyBorder="1"/>
    <xf numFmtId="0" fontId="53" fillId="7" borderId="56" xfId="2" applyFont="1" applyFill="1" applyBorder="1" applyAlignment="1">
      <alignment horizontal="left"/>
    </xf>
    <xf numFmtId="164" fontId="53" fillId="7" borderId="16" xfId="2" applyNumberFormat="1" applyFont="1" applyFill="1" applyBorder="1" applyAlignment="1">
      <alignment horizontal="right"/>
    </xf>
    <xf numFmtId="0" fontId="53" fillId="9" borderId="57" xfId="2" applyFont="1" applyFill="1" applyBorder="1"/>
    <xf numFmtId="164" fontId="53" fillId="9" borderId="17" xfId="2" applyNumberFormat="1" applyFont="1" applyFill="1" applyBorder="1" applyAlignment="1">
      <alignment horizontal="right"/>
    </xf>
    <xf numFmtId="164" fontId="53" fillId="13" borderId="9" xfId="2" applyNumberFormat="1" applyFont="1" applyFill="1" applyBorder="1" applyAlignment="1">
      <alignment horizontal="right"/>
    </xf>
    <xf numFmtId="0" fontId="70" fillId="0" borderId="7" xfId="2" applyFont="1" applyBorder="1"/>
    <xf numFmtId="10" fontId="64" fillId="0" borderId="58" xfId="2" applyNumberFormat="1" applyFont="1" applyBorder="1" applyAlignment="1">
      <alignment horizontal="right"/>
    </xf>
    <xf numFmtId="9" fontId="49" fillId="0" borderId="17" xfId="2" applyNumberFormat="1" applyFont="1" applyBorder="1" applyAlignment="1">
      <alignment horizontal="right"/>
    </xf>
    <xf numFmtId="9" fontId="49" fillId="0" borderId="11" xfId="2" applyNumberFormat="1" applyFont="1" applyBorder="1" applyAlignment="1">
      <alignment horizontal="right"/>
    </xf>
    <xf numFmtId="9" fontId="67" fillId="0" borderId="0" xfId="2" applyNumberFormat="1" applyFont="1" applyAlignment="1">
      <alignment horizontal="right"/>
    </xf>
    <xf numFmtId="0" fontId="65" fillId="0" borderId="48" xfId="2" applyFont="1" applyBorder="1" applyAlignment="1">
      <alignment horizontal="right"/>
    </xf>
    <xf numFmtId="164" fontId="49" fillId="0" borderId="17" xfId="2" applyNumberFormat="1" applyFont="1" applyBorder="1" applyAlignment="1">
      <alignment horizontal="right"/>
    </xf>
    <xf numFmtId="3" fontId="67" fillId="0" borderId="0" xfId="2" applyNumberFormat="1" applyFont="1" applyAlignment="1">
      <alignment horizontal="right"/>
    </xf>
    <xf numFmtId="9" fontId="64" fillId="0" borderId="17" xfId="2" applyNumberFormat="1" applyFont="1" applyBorder="1" applyAlignment="1">
      <alignment horizontal="right"/>
    </xf>
    <xf numFmtId="9" fontId="64" fillId="0" borderId="11" xfId="2" applyNumberFormat="1" applyFont="1" applyBorder="1" applyAlignment="1">
      <alignment horizontal="right"/>
    </xf>
    <xf numFmtId="10" fontId="64" fillId="0" borderId="7" xfId="2" applyNumberFormat="1" applyFont="1" applyBorder="1" applyAlignment="1">
      <alignment horizontal="right"/>
    </xf>
    <xf numFmtId="0" fontId="71" fillId="0" borderId="0" xfId="2" applyFont="1"/>
    <xf numFmtId="0" fontId="65" fillId="9" borderId="48" xfId="2" applyFont="1" applyFill="1" applyBorder="1" applyAlignment="1">
      <alignment horizontal="right"/>
    </xf>
    <xf numFmtId="164" fontId="65" fillId="9" borderId="0" xfId="2" applyNumberFormat="1" applyFont="1" applyFill="1" applyAlignment="1">
      <alignment horizontal="right"/>
    </xf>
    <xf numFmtId="164" fontId="72" fillId="9" borderId="0" xfId="2" applyNumberFormat="1" applyFont="1" applyFill="1" applyAlignment="1">
      <alignment horizontal="right"/>
    </xf>
    <xf numFmtId="0" fontId="69" fillId="0" borderId="0" xfId="2" applyFont="1"/>
    <xf numFmtId="0" fontId="53" fillId="0" borderId="56" xfId="2" applyFont="1" applyBorder="1" applyAlignment="1">
      <alignment horizontal="left"/>
    </xf>
    <xf numFmtId="164" fontId="53" fillId="0" borderId="16" xfId="2" applyNumberFormat="1" applyFont="1" applyBorder="1" applyAlignment="1">
      <alignment horizontal="right"/>
    </xf>
    <xf numFmtId="164" fontId="53" fillId="0" borderId="15" xfId="2" applyNumberFormat="1" applyFont="1" applyBorder="1" applyAlignment="1">
      <alignment horizontal="right"/>
    </xf>
    <xf numFmtId="0" fontId="69" fillId="0" borderId="57" xfId="2" applyFont="1" applyBorder="1" applyAlignment="1">
      <alignment horizontal="right"/>
    </xf>
    <xf numFmtId="166" fontId="64" fillId="0" borderId="17" xfId="2" applyNumberFormat="1" applyFont="1" applyBorder="1" applyAlignment="1">
      <alignment horizontal="right"/>
    </xf>
    <xf numFmtId="166" fontId="64" fillId="0" borderId="11" xfId="2" applyNumberFormat="1" applyFont="1" applyBorder="1" applyAlignment="1">
      <alignment horizontal="right"/>
    </xf>
    <xf numFmtId="164" fontId="53" fillId="0" borderId="18" xfId="2" applyNumberFormat="1" applyFont="1" applyBorder="1" applyAlignment="1">
      <alignment horizontal="right"/>
    </xf>
    <xf numFmtId="0" fontId="55" fillId="0" borderId="19" xfId="2" applyFont="1" applyBorder="1"/>
    <xf numFmtId="164" fontId="55" fillId="0" borderId="19" xfId="2" applyNumberFormat="1" applyFont="1" applyBorder="1" applyAlignment="1">
      <alignment horizontal="right"/>
    </xf>
    <xf numFmtId="3" fontId="64" fillId="0" borderId="0" xfId="2" applyNumberFormat="1" applyFont="1" applyAlignment="1">
      <alignment horizontal="right"/>
    </xf>
    <xf numFmtId="164" fontId="53" fillId="0" borderId="0" xfId="2" applyNumberFormat="1" applyFont="1" applyAlignment="1">
      <alignment horizontal="right"/>
    </xf>
    <xf numFmtId="164" fontId="65" fillId="0" borderId="48" xfId="2" applyNumberFormat="1" applyFont="1" applyBorder="1" applyAlignment="1">
      <alignment horizontal="right"/>
    </xf>
    <xf numFmtId="0" fontId="69" fillId="0" borderId="9" xfId="2" applyFont="1" applyBorder="1" applyAlignment="1">
      <alignment horizontal="right"/>
    </xf>
    <xf numFmtId="0" fontId="73" fillId="0" borderId="7" xfId="2" applyFont="1" applyBorder="1"/>
    <xf numFmtId="0" fontId="55" fillId="0" borderId="0" xfId="2" applyFont="1"/>
    <xf numFmtId="0" fontId="73" fillId="0" borderId="0" xfId="2" applyFont="1"/>
    <xf numFmtId="3" fontId="58" fillId="3" borderId="20" xfId="2" applyNumberFormat="1" applyFont="1" applyFill="1" applyBorder="1" applyAlignment="1">
      <alignment horizontal="center" vertical="center"/>
    </xf>
    <xf numFmtId="0" fontId="57" fillId="5" borderId="21" xfId="2" applyFont="1" applyFill="1" applyBorder="1" applyAlignment="1">
      <alignment horizontal="center"/>
    </xf>
    <xf numFmtId="0" fontId="57" fillId="15" borderId="0" xfId="2" applyFont="1" applyFill="1" applyAlignment="1">
      <alignment horizontal="center"/>
    </xf>
    <xf numFmtId="0" fontId="57" fillId="3" borderId="22" xfId="2" applyFont="1" applyFill="1" applyBorder="1" applyAlignment="1">
      <alignment horizontal="center"/>
    </xf>
    <xf numFmtId="3" fontId="63" fillId="5" borderId="50" xfId="2" applyNumberFormat="1" applyFont="1" applyFill="1" applyBorder="1" applyAlignment="1">
      <alignment horizontal="center" vertical="center"/>
    </xf>
    <xf numFmtId="3" fontId="63" fillId="5" borderId="23" xfId="2" applyNumberFormat="1" applyFont="1" applyFill="1" applyBorder="1" applyAlignment="1">
      <alignment horizontal="center" vertical="center"/>
    </xf>
    <xf numFmtId="3" fontId="63" fillId="5" borderId="4" xfId="2" applyNumberFormat="1" applyFont="1" applyFill="1" applyBorder="1" applyAlignment="1">
      <alignment horizontal="center" vertical="center"/>
    </xf>
    <xf numFmtId="3" fontId="58" fillId="15" borderId="0" xfId="2" applyNumberFormat="1" applyFont="1" applyFill="1" applyAlignment="1">
      <alignment horizontal="center" vertical="center"/>
    </xf>
    <xf numFmtId="0" fontId="53" fillId="16" borderId="48" xfId="2" applyFont="1" applyFill="1" applyBorder="1" applyAlignment="1">
      <alignment horizontal="left"/>
    </xf>
    <xf numFmtId="164" fontId="53" fillId="10" borderId="0" xfId="2" applyNumberFormat="1" applyFont="1" applyFill="1" applyAlignment="1">
      <alignment horizontal="right"/>
    </xf>
    <xf numFmtId="164" fontId="53" fillId="9" borderId="0" xfId="2" applyNumberFormat="1" applyFont="1" applyFill="1" applyAlignment="1">
      <alignment horizontal="right"/>
    </xf>
    <xf numFmtId="164" fontId="53" fillId="10" borderId="24" xfId="2" applyNumberFormat="1" applyFont="1" applyFill="1" applyBorder="1" applyAlignment="1">
      <alignment horizontal="right"/>
    </xf>
    <xf numFmtId="0" fontId="50" fillId="0" borderId="48" xfId="0" applyFont="1" applyBorder="1"/>
    <xf numFmtId="164" fontId="49" fillId="0" borderId="0" xfId="2" applyNumberFormat="1" applyFont="1" applyAlignment="1">
      <alignment horizontal="right"/>
    </xf>
    <xf numFmtId="164" fontId="53" fillId="0" borderId="25" xfId="2" applyNumberFormat="1" applyFont="1" applyBorder="1" applyAlignment="1">
      <alignment horizontal="right"/>
    </xf>
    <xf numFmtId="164" fontId="49" fillId="0" borderId="10" xfId="2" applyNumberFormat="1" applyFont="1" applyBorder="1" applyAlignment="1">
      <alignment horizontal="right"/>
    </xf>
    <xf numFmtId="164" fontId="53" fillId="0" borderId="26" xfId="2" applyNumberFormat="1" applyFont="1" applyBorder="1" applyAlignment="1">
      <alignment horizontal="right"/>
    </xf>
    <xf numFmtId="0" fontId="56" fillId="17" borderId="48" xfId="0" applyFont="1" applyFill="1" applyBorder="1"/>
    <xf numFmtId="164" fontId="53" fillId="17" borderId="0" xfId="2" applyNumberFormat="1" applyFont="1" applyFill="1" applyAlignment="1">
      <alignment horizontal="right"/>
    </xf>
    <xf numFmtId="0" fontId="53" fillId="16" borderId="59" xfId="2" applyFont="1" applyFill="1" applyBorder="1" applyAlignment="1">
      <alignment horizontal="left"/>
    </xf>
    <xf numFmtId="164" fontId="53" fillId="10" borderId="16" xfId="2" applyNumberFormat="1" applyFont="1" applyFill="1" applyBorder="1" applyAlignment="1">
      <alignment horizontal="right"/>
    </xf>
    <xf numFmtId="164" fontId="53" fillId="10" borderId="15" xfId="2" applyNumberFormat="1" applyFont="1" applyFill="1" applyBorder="1" applyAlignment="1">
      <alignment horizontal="right"/>
    </xf>
    <xf numFmtId="164" fontId="53" fillId="10" borderId="28" xfId="2" applyNumberFormat="1" applyFont="1" applyFill="1" applyBorder="1" applyAlignment="1">
      <alignment horizontal="right"/>
    </xf>
    <xf numFmtId="0" fontId="65" fillId="18" borderId="48" xfId="2" applyFont="1" applyFill="1" applyBorder="1"/>
    <xf numFmtId="3" fontId="64" fillId="9" borderId="0" xfId="2" applyNumberFormat="1" applyFont="1" applyFill="1" applyAlignment="1">
      <alignment horizontal="right"/>
    </xf>
    <xf numFmtId="3" fontId="64" fillId="0" borderId="25" xfId="2" applyNumberFormat="1" applyFont="1" applyBorder="1" applyAlignment="1">
      <alignment horizontal="right"/>
    </xf>
    <xf numFmtId="0" fontId="65" fillId="19" borderId="48" xfId="2" applyFont="1" applyFill="1" applyBorder="1"/>
    <xf numFmtId="0" fontId="53" fillId="19" borderId="48" xfId="2" applyFont="1" applyFill="1" applyBorder="1" applyAlignment="1">
      <alignment horizontal="left"/>
    </xf>
    <xf numFmtId="164" fontId="53" fillId="0" borderId="24" xfId="2" applyNumberFormat="1" applyFont="1" applyBorder="1" applyAlignment="1">
      <alignment horizontal="right"/>
    </xf>
    <xf numFmtId="164" fontId="53" fillId="10" borderId="27" xfId="2" applyNumberFormat="1" applyFont="1" applyFill="1" applyBorder="1" applyAlignment="1">
      <alignment horizontal="right"/>
    </xf>
    <xf numFmtId="164" fontId="53" fillId="10" borderId="12" xfId="2" applyNumberFormat="1" applyFont="1" applyFill="1" applyBorder="1" applyAlignment="1">
      <alignment horizontal="right"/>
    </xf>
    <xf numFmtId="164" fontId="53" fillId="10" borderId="31" xfId="2" applyNumberFormat="1" applyFont="1" applyFill="1" applyBorder="1" applyAlignment="1">
      <alignment horizontal="right"/>
    </xf>
    <xf numFmtId="164" fontId="53" fillId="10" borderId="32" xfId="2" applyNumberFormat="1" applyFont="1" applyFill="1" applyBorder="1" applyAlignment="1">
      <alignment horizontal="right"/>
    </xf>
    <xf numFmtId="0" fontId="67" fillId="18" borderId="48" xfId="2" applyFont="1" applyFill="1" applyBorder="1" applyAlignment="1">
      <alignment horizontal="left"/>
    </xf>
    <xf numFmtId="10" fontId="69" fillId="9" borderId="0" xfId="2" applyNumberFormat="1" applyFont="1" applyFill="1"/>
    <xf numFmtId="10" fontId="69" fillId="0" borderId="25" xfId="2" applyNumberFormat="1" applyFont="1" applyBorder="1"/>
    <xf numFmtId="0" fontId="72" fillId="10" borderId="48" xfId="2" applyFont="1" applyFill="1" applyBorder="1" applyAlignment="1">
      <alignment horizontal="left"/>
    </xf>
    <xf numFmtId="164" fontId="53" fillId="10" borderId="35" xfId="2" applyNumberFormat="1" applyFont="1" applyFill="1" applyBorder="1" applyAlignment="1">
      <alignment horizontal="right"/>
    </xf>
    <xf numFmtId="164" fontId="53" fillId="10" borderId="34" xfId="2" applyNumberFormat="1" applyFont="1" applyFill="1" applyBorder="1" applyAlignment="1">
      <alignment horizontal="right"/>
    </xf>
    <xf numFmtId="0" fontId="72" fillId="9" borderId="48" xfId="2" applyFont="1" applyFill="1" applyBorder="1" applyAlignment="1">
      <alignment horizontal="left"/>
    </xf>
    <xf numFmtId="164" fontId="74" fillId="9" borderId="48" xfId="2" applyNumberFormat="1" applyFont="1" applyFill="1" applyBorder="1" applyAlignment="1">
      <alignment horizontal="left"/>
    </xf>
    <xf numFmtId="0" fontId="50" fillId="0" borderId="48" xfId="0" applyFont="1" applyBorder="1" applyAlignment="1">
      <alignment vertical="center"/>
    </xf>
    <xf numFmtId="164" fontId="49" fillId="20" borderId="35" xfId="2" applyNumberFormat="1" applyFont="1" applyFill="1" applyBorder="1" applyAlignment="1">
      <alignment horizontal="right"/>
    </xf>
    <xf numFmtId="164" fontId="49" fillId="9" borderId="0" xfId="2" applyNumberFormat="1" applyFont="1" applyFill="1"/>
    <xf numFmtId="164" fontId="49" fillId="20" borderId="0" xfId="2" applyNumberFormat="1" applyFont="1" applyFill="1" applyAlignment="1">
      <alignment horizontal="right"/>
    </xf>
    <xf numFmtId="3" fontId="50" fillId="9" borderId="0" xfId="0" applyNumberFormat="1" applyFont="1" applyFill="1"/>
    <xf numFmtId="164" fontId="49" fillId="9" borderId="0" xfId="2" applyNumberFormat="1" applyFont="1" applyFill="1" applyAlignment="1">
      <alignment horizontal="right"/>
    </xf>
    <xf numFmtId="164" fontId="49" fillId="30" borderId="35" xfId="2" applyNumberFormat="1" applyFont="1" applyFill="1" applyBorder="1" applyAlignment="1">
      <alignment horizontal="right"/>
    </xf>
    <xf numFmtId="164" fontId="49" fillId="30" borderId="10" xfId="2" applyNumberFormat="1" applyFont="1" applyFill="1" applyBorder="1" applyAlignment="1">
      <alignment horizontal="right"/>
    </xf>
    <xf numFmtId="164" fontId="53" fillId="30" borderId="0" xfId="2" applyNumberFormat="1" applyFont="1" applyFill="1" applyAlignment="1">
      <alignment horizontal="right"/>
    </xf>
    <xf numFmtId="3" fontId="64" fillId="30" borderId="0" xfId="2" applyNumberFormat="1" applyFont="1" applyFill="1" applyAlignment="1">
      <alignment horizontal="right"/>
    </xf>
    <xf numFmtId="164" fontId="67" fillId="30" borderId="33" xfId="2" applyNumberFormat="1" applyFont="1" applyFill="1" applyBorder="1" applyAlignment="1">
      <alignment horizontal="right"/>
    </xf>
    <xf numFmtId="164" fontId="53" fillId="7" borderId="9" xfId="2" applyNumberFormat="1" applyFont="1" applyFill="1" applyBorder="1" applyAlignment="1">
      <alignment horizontal="right" wrapText="1"/>
    </xf>
    <xf numFmtId="3" fontId="53" fillId="10" borderId="9" xfId="2" applyNumberFormat="1" applyFont="1" applyFill="1" applyBorder="1" applyAlignment="1">
      <alignment wrapText="1"/>
    </xf>
    <xf numFmtId="164" fontId="53" fillId="9" borderId="17" xfId="2" applyNumberFormat="1" applyFont="1" applyFill="1" applyBorder="1" applyAlignment="1">
      <alignment horizontal="right" wrapText="1"/>
    </xf>
    <xf numFmtId="0" fontId="56" fillId="37" borderId="7" xfId="2" applyFont="1" applyFill="1" applyBorder="1"/>
    <xf numFmtId="0" fontId="68" fillId="37" borderId="3" xfId="2" applyFont="1" applyFill="1" applyBorder="1"/>
    <xf numFmtId="0" fontId="70" fillId="37" borderId="7" xfId="2" applyFont="1" applyFill="1" applyBorder="1"/>
    <xf numFmtId="10" fontId="69" fillId="37" borderId="7" xfId="2" applyNumberFormat="1" applyFont="1" applyFill="1" applyBorder="1"/>
    <xf numFmtId="0" fontId="75" fillId="36" borderId="0" xfId="0" applyFont="1" applyFill="1"/>
    <xf numFmtId="6" fontId="53" fillId="24" borderId="9" xfId="0" applyNumberFormat="1" applyFont="1" applyFill="1" applyBorder="1"/>
    <xf numFmtId="0" fontId="39" fillId="0" borderId="37" xfId="0" applyFont="1" applyBorder="1" applyAlignment="1">
      <alignment vertical="center"/>
    </xf>
    <xf numFmtId="0" fontId="40" fillId="23" borderId="36" xfId="0" applyFont="1" applyFill="1" applyBorder="1" applyAlignment="1">
      <alignment horizontal="center" vertical="center"/>
    </xf>
    <xf numFmtId="0" fontId="37" fillId="22" borderId="36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7" fillId="21" borderId="2" xfId="0" applyFont="1" applyFill="1" applyBorder="1" applyAlignment="1">
      <alignment vertical="center"/>
    </xf>
    <xf numFmtId="0" fontId="37" fillId="22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36" fillId="23" borderId="36" xfId="0" applyFont="1" applyFill="1" applyBorder="1" applyAlignment="1">
      <alignment horizontal="center" vertical="center"/>
    </xf>
    <xf numFmtId="0" fontId="36" fillId="22" borderId="36" xfId="0" applyFont="1" applyFill="1" applyBorder="1" applyAlignment="1">
      <alignment horizontal="center" vertical="center"/>
    </xf>
    <xf numFmtId="0" fontId="36" fillId="21" borderId="1" xfId="0" applyFont="1" applyFill="1" applyBorder="1" applyAlignment="1">
      <alignment horizontal="center" vertical="center"/>
    </xf>
    <xf numFmtId="0" fontId="76" fillId="21" borderId="1" xfId="0" applyFont="1" applyFill="1" applyBorder="1" applyAlignment="1">
      <alignment horizontal="center" vertical="center"/>
    </xf>
    <xf numFmtId="0" fontId="37" fillId="22" borderId="1" xfId="0" applyFont="1" applyFill="1" applyBorder="1" applyAlignment="1">
      <alignment horizontal="center" vertical="center"/>
    </xf>
    <xf numFmtId="0" fontId="37" fillId="21" borderId="1" xfId="0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7" fillId="21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6" fillId="21" borderId="36" xfId="0" applyFont="1" applyFill="1" applyBorder="1" applyAlignment="1">
      <alignment horizontal="center" vertical="center"/>
    </xf>
    <xf numFmtId="0" fontId="37" fillId="21" borderId="38" xfId="0" applyFont="1" applyFill="1" applyBorder="1" applyAlignment="1">
      <alignment horizontal="center" vertical="center"/>
    </xf>
    <xf numFmtId="169" fontId="53" fillId="24" borderId="9" xfId="0" applyNumberFormat="1" applyFont="1" applyFill="1" applyBorder="1"/>
    <xf numFmtId="0" fontId="23" fillId="0" borderId="0" xfId="0" applyFont="1"/>
    <xf numFmtId="0" fontId="6" fillId="0" borderId="0" xfId="0" applyFont="1"/>
    <xf numFmtId="0" fontId="18" fillId="0" borderId="0" xfId="0" applyFont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23" fillId="0" borderId="3" xfId="0" applyFont="1" applyBorder="1" applyAlignment="1">
      <alignment vertical="center"/>
    </xf>
    <xf numFmtId="0" fontId="6" fillId="0" borderId="7" xfId="0" applyFont="1" applyBorder="1"/>
    <xf numFmtId="0" fontId="16" fillId="0" borderId="48" xfId="0" applyFont="1" applyBorder="1"/>
    <xf numFmtId="0" fontId="18" fillId="0" borderId="9" xfId="0" applyFont="1" applyBorder="1"/>
    <xf numFmtId="0" fontId="6" fillId="0" borderId="10" xfId="0" applyFont="1" applyBorder="1"/>
    <xf numFmtId="0" fontId="6" fillId="24" borderId="60" xfId="0" applyFont="1" applyFill="1" applyBorder="1"/>
    <xf numFmtId="6" fontId="6" fillId="24" borderId="9" xfId="0" applyNumberFormat="1" applyFont="1" applyFill="1" applyBorder="1"/>
    <xf numFmtId="0" fontId="23" fillId="26" borderId="0" xfId="0" applyFont="1" applyFill="1" applyAlignment="1">
      <alignment wrapText="1"/>
    </xf>
    <xf numFmtId="0" fontId="18" fillId="0" borderId="39" xfId="0" applyFont="1" applyBorder="1"/>
    <xf numFmtId="0" fontId="21" fillId="0" borderId="52" xfId="0" applyFont="1" applyBorder="1"/>
    <xf numFmtId="9" fontId="21" fillId="26" borderId="9" xfId="0" applyNumberFormat="1" applyFont="1" applyFill="1" applyBorder="1"/>
    <xf numFmtId="0" fontId="6" fillId="0" borderId="17" xfId="0" applyFont="1" applyBorder="1"/>
    <xf numFmtId="0" fontId="6" fillId="0" borderId="11" xfId="0" applyFont="1" applyBorder="1"/>
    <xf numFmtId="0" fontId="6" fillId="0" borderId="5" xfId="0" applyFont="1" applyBorder="1"/>
    <xf numFmtId="0" fontId="16" fillId="26" borderId="0" xfId="0" applyFont="1" applyFill="1"/>
    <xf numFmtId="0" fontId="28" fillId="0" borderId="39" xfId="0" applyFont="1" applyBorder="1"/>
    <xf numFmtId="0" fontId="23" fillId="26" borderId="52" xfId="0" applyFont="1" applyFill="1" applyBorder="1"/>
    <xf numFmtId="168" fontId="23" fillId="26" borderId="9" xfId="0" applyNumberFormat="1" applyFont="1" applyFill="1" applyBorder="1"/>
    <xf numFmtId="6" fontId="6" fillId="26" borderId="9" xfId="0" applyNumberFormat="1" applyFont="1" applyFill="1" applyBorder="1"/>
    <xf numFmtId="0" fontId="6" fillId="0" borderId="54" xfId="0" applyFont="1" applyBorder="1"/>
    <xf numFmtId="6" fontId="6" fillId="0" borderId="13" xfId="0" applyNumberFormat="1" applyFont="1" applyBorder="1"/>
    <xf numFmtId="0" fontId="16" fillId="0" borderId="61" xfId="0" applyFont="1" applyBorder="1"/>
    <xf numFmtId="10" fontId="21" fillId="0" borderId="41" xfId="0" applyNumberFormat="1" applyFont="1" applyBorder="1"/>
    <xf numFmtId="0" fontId="21" fillId="0" borderId="40" xfId="0" applyFont="1" applyBorder="1"/>
    <xf numFmtId="0" fontId="6" fillId="27" borderId="48" xfId="0" applyFont="1" applyFill="1" applyBorder="1"/>
    <xf numFmtId="3" fontId="23" fillId="27" borderId="9" xfId="0" applyNumberFormat="1" applyFont="1" applyFill="1" applyBorder="1"/>
    <xf numFmtId="0" fontId="18" fillId="0" borderId="10" xfId="0" applyFont="1" applyBorder="1"/>
    <xf numFmtId="0" fontId="16" fillId="28" borderId="48" xfId="0" applyFont="1" applyFill="1" applyBorder="1"/>
    <xf numFmtId="0" fontId="21" fillId="0" borderId="9" xfId="0" applyFont="1" applyBorder="1"/>
    <xf numFmtId="0" fontId="6" fillId="24" borderId="62" xfId="0" applyFont="1" applyFill="1" applyBorder="1"/>
    <xf numFmtId="6" fontId="6" fillId="24" borderId="16" xfId="0" applyNumberFormat="1" applyFont="1" applyFill="1" applyBorder="1"/>
    <xf numFmtId="0" fontId="16" fillId="0" borderId="63" xfId="0" applyFont="1" applyBorder="1"/>
    <xf numFmtId="0" fontId="21" fillId="0" borderId="14" xfId="0" applyFont="1" applyBorder="1"/>
    <xf numFmtId="0" fontId="6" fillId="26" borderId="64" xfId="0" applyFont="1" applyFill="1" applyBorder="1"/>
    <xf numFmtId="168" fontId="23" fillId="26" borderId="17" xfId="0" applyNumberFormat="1" applyFont="1" applyFill="1" applyBorder="1"/>
    <xf numFmtId="168" fontId="6" fillId="29" borderId="17" xfId="0" applyNumberFormat="1" applyFont="1" applyFill="1" applyBorder="1"/>
    <xf numFmtId="0" fontId="16" fillId="0" borderId="65" xfId="0" applyFont="1" applyBorder="1"/>
    <xf numFmtId="9" fontId="23" fillId="0" borderId="17" xfId="0" applyNumberFormat="1" applyFont="1" applyBorder="1"/>
    <xf numFmtId="9" fontId="23" fillId="0" borderId="11" xfId="0" applyNumberFormat="1" applyFont="1" applyBorder="1"/>
    <xf numFmtId="0" fontId="21" fillId="0" borderId="0" xfId="0" applyFont="1"/>
    <xf numFmtId="0" fontId="18" fillId="0" borderId="48" xfId="0" applyFont="1" applyBorder="1"/>
    <xf numFmtId="168" fontId="21" fillId="0" borderId="0" xfId="0" applyNumberFormat="1" applyFont="1"/>
    <xf numFmtId="168" fontId="21" fillId="0" borderId="17" xfId="0" applyNumberFormat="1" applyFont="1" applyBorder="1"/>
    <xf numFmtId="0" fontId="16" fillId="0" borderId="10" xfId="0" applyFont="1" applyBorder="1"/>
    <xf numFmtId="168" fontId="21" fillId="0" borderId="9" xfId="0" applyNumberFormat="1" applyFont="1" applyBorder="1"/>
    <xf numFmtId="0" fontId="16" fillId="0" borderId="60" xfId="0" applyFont="1" applyBorder="1"/>
    <xf numFmtId="9" fontId="16" fillId="0" borderId="9" xfId="0" applyNumberFormat="1" applyFont="1" applyBorder="1"/>
    <xf numFmtId="0" fontId="16" fillId="0" borderId="8" xfId="0" applyFont="1" applyBorder="1"/>
    <xf numFmtId="0" fontId="16" fillId="0" borderId="7" xfId="0" applyFont="1" applyBorder="1"/>
    <xf numFmtId="0" fontId="28" fillId="26" borderId="48" xfId="0" applyFont="1" applyFill="1" applyBorder="1"/>
    <xf numFmtId="168" fontId="23" fillId="26" borderId="0" xfId="0" applyNumberFormat="1" applyFont="1" applyFill="1"/>
    <xf numFmtId="168" fontId="23" fillId="0" borderId="17" xfId="0" applyNumberFormat="1" applyFont="1" applyBorder="1"/>
    <xf numFmtId="0" fontId="16" fillId="0" borderId="0" xfId="0" applyFont="1"/>
    <xf numFmtId="0" fontId="6" fillId="0" borderId="56" xfId="0" applyFont="1" applyBorder="1"/>
    <xf numFmtId="6" fontId="6" fillId="0" borderId="16" xfId="0" applyNumberFormat="1" applyFont="1" applyBorder="1"/>
    <xf numFmtId="6" fontId="6" fillId="0" borderId="15" xfId="0" applyNumberFormat="1" applyFont="1" applyBorder="1"/>
    <xf numFmtId="0" fontId="16" fillId="0" borderId="52" xfId="0" applyFont="1" applyBorder="1"/>
    <xf numFmtId="10" fontId="16" fillId="0" borderId="9" xfId="0" applyNumberFormat="1" applyFont="1" applyBorder="1"/>
    <xf numFmtId="10" fontId="16" fillId="0" borderId="8" xfId="0" applyNumberFormat="1" applyFont="1" applyBorder="1"/>
    <xf numFmtId="168" fontId="18" fillId="0" borderId="0" xfId="0" applyNumberFormat="1" applyFont="1"/>
    <xf numFmtId="168" fontId="18" fillId="0" borderId="19" xfId="0" applyNumberFormat="1" applyFont="1" applyBorder="1"/>
    <xf numFmtId="0" fontId="6" fillId="24" borderId="56" xfId="0" applyFont="1" applyFill="1" applyBorder="1"/>
    <xf numFmtId="6" fontId="6" fillId="24" borderId="35" xfId="0" applyNumberFormat="1" applyFont="1" applyFill="1" applyBorder="1"/>
    <xf numFmtId="0" fontId="18" fillId="0" borderId="7" xfId="0" applyFont="1" applyBorder="1"/>
    <xf numFmtId="0" fontId="16" fillId="0" borderId="9" xfId="0" applyFont="1" applyBorder="1"/>
    <xf numFmtId="0" fontId="18" fillId="0" borderId="0" xfId="0" applyFont="1"/>
    <xf numFmtId="0" fontId="6" fillId="33" borderId="48" xfId="0" applyFont="1" applyFill="1" applyBorder="1"/>
    <xf numFmtId="6" fontId="6" fillId="27" borderId="0" xfId="0" applyNumberFormat="1" applyFont="1" applyFill="1"/>
    <xf numFmtId="0" fontId="6" fillId="26" borderId="0" xfId="0" applyFont="1" applyFill="1"/>
    <xf numFmtId="0" fontId="6" fillId="27" borderId="24" xfId="0" applyFont="1" applyFill="1" applyBorder="1"/>
    <xf numFmtId="0" fontId="23" fillId="0" borderId="48" xfId="0" applyFont="1" applyBorder="1"/>
    <xf numFmtId="0" fontId="6" fillId="0" borderId="25" xfId="0" applyFont="1" applyBorder="1"/>
    <xf numFmtId="0" fontId="23" fillId="0" borderId="35" xfId="0" applyFont="1" applyBorder="1"/>
    <xf numFmtId="0" fontId="6" fillId="0" borderId="26" xfId="0" applyFont="1" applyBorder="1"/>
    <xf numFmtId="0" fontId="6" fillId="34" borderId="48" xfId="0" applyFont="1" applyFill="1" applyBorder="1"/>
    <xf numFmtId="0" fontId="6" fillId="34" borderId="0" xfId="0" applyFont="1" applyFill="1"/>
    <xf numFmtId="0" fontId="6" fillId="33" borderId="59" xfId="0" applyFont="1" applyFill="1" applyBorder="1"/>
    <xf numFmtId="6" fontId="6" fillId="27" borderId="16" xfId="0" applyNumberFormat="1" applyFont="1" applyFill="1" applyBorder="1"/>
    <xf numFmtId="6" fontId="6" fillId="27" borderId="46" xfId="0" applyNumberFormat="1" applyFont="1" applyFill="1" applyBorder="1"/>
    <xf numFmtId="0" fontId="18" fillId="18" borderId="48" xfId="0" applyFont="1" applyFill="1" applyBorder="1"/>
    <xf numFmtId="0" fontId="16" fillId="0" borderId="25" xfId="0" applyFont="1" applyBorder="1"/>
    <xf numFmtId="0" fontId="6" fillId="18" borderId="48" xfId="0" applyFont="1" applyFill="1" applyBorder="1"/>
    <xf numFmtId="0" fontId="6" fillId="0" borderId="24" xfId="0" applyFont="1" applyBorder="1"/>
    <xf numFmtId="6" fontId="6" fillId="27" borderId="27" xfId="0" applyNumberFormat="1" applyFont="1" applyFill="1" applyBorder="1"/>
    <xf numFmtId="6" fontId="6" fillId="27" borderId="13" xfId="0" applyNumberFormat="1" applyFont="1" applyFill="1" applyBorder="1"/>
    <xf numFmtId="6" fontId="6" fillId="27" borderId="47" xfId="0" applyNumberFormat="1" applyFont="1" applyFill="1" applyBorder="1"/>
    <xf numFmtId="6" fontId="6" fillId="27" borderId="32" xfId="0" applyNumberFormat="1" applyFont="1" applyFill="1" applyBorder="1"/>
    <xf numFmtId="0" fontId="21" fillId="18" borderId="48" xfId="0" applyFont="1" applyFill="1" applyBorder="1"/>
    <xf numFmtId="0" fontId="21" fillId="0" borderId="33" xfId="0" applyFont="1" applyBorder="1"/>
    <xf numFmtId="0" fontId="28" fillId="27" borderId="48" xfId="0" applyFont="1" applyFill="1" applyBorder="1"/>
    <xf numFmtId="6" fontId="6" fillId="27" borderId="35" xfId="0" applyNumberFormat="1" applyFont="1" applyFill="1" applyBorder="1"/>
    <xf numFmtId="6" fontId="6" fillId="27" borderId="34" xfId="0" applyNumberFormat="1" applyFont="1" applyFill="1" applyBorder="1"/>
    <xf numFmtId="0" fontId="32" fillId="26" borderId="48" xfId="0" applyFont="1" applyFill="1" applyBorder="1"/>
    <xf numFmtId="169" fontId="6" fillId="24" borderId="9" xfId="0" applyNumberFormat="1" applyFont="1" applyFill="1" applyBorder="1"/>
    <xf numFmtId="0" fontId="23" fillId="26" borderId="0" xfId="0" applyFont="1" applyFill="1"/>
    <xf numFmtId="164" fontId="21" fillId="0" borderId="17" xfId="2" applyNumberFormat="1" applyFont="1" applyBorder="1" applyAlignment="1">
      <alignment horizontal="right"/>
    </xf>
    <xf numFmtId="1" fontId="53" fillId="10" borderId="35" xfId="2" applyNumberFormat="1" applyFont="1" applyFill="1" applyBorder="1" applyAlignment="1">
      <alignment horizontal="right"/>
    </xf>
    <xf numFmtId="0" fontId="9" fillId="0" borderId="7" xfId="2" applyFont="1" applyBorder="1" applyAlignment="1">
      <alignment vertical="center"/>
    </xf>
    <xf numFmtId="0" fontId="6" fillId="7" borderId="53" xfId="2" applyFont="1" applyFill="1" applyBorder="1" applyAlignment="1">
      <alignment horizontal="left" vertical="center"/>
    </xf>
    <xf numFmtId="164" fontId="6" fillId="7" borderId="9" xfId="2" applyNumberFormat="1" applyFont="1" applyFill="1" applyBorder="1" applyAlignment="1">
      <alignment horizontal="right" vertical="center"/>
    </xf>
    <xf numFmtId="0" fontId="19" fillId="0" borderId="0" xfId="0" applyFont="1" applyAlignment="1">
      <alignment vertical="center"/>
    </xf>
    <xf numFmtId="164" fontId="10" fillId="8" borderId="9" xfId="2" applyNumberFormat="1" applyFont="1" applyFill="1" applyBorder="1" applyAlignment="1">
      <alignment horizontal="right" vertical="center"/>
    </xf>
    <xf numFmtId="0" fontId="2" fillId="0" borderId="0" xfId="2" applyAlignment="1">
      <alignment vertical="center"/>
    </xf>
    <xf numFmtId="9" fontId="31" fillId="0" borderId="0" xfId="1" applyFont="1"/>
    <xf numFmtId="3" fontId="77" fillId="0" borderId="0" xfId="2" applyNumberFormat="1" applyFont="1"/>
    <xf numFmtId="0" fontId="79" fillId="0" borderId="0" xfId="2" applyFont="1"/>
    <xf numFmtId="0" fontId="79" fillId="0" borderId="0" xfId="2" applyFont="1" applyAlignment="1">
      <alignment horizontal="right"/>
    </xf>
    <xf numFmtId="6" fontId="80" fillId="9" borderId="0" xfId="0" applyNumberFormat="1" applyFont="1" applyFill="1" applyAlignment="1">
      <alignment horizontal="right" vertical="center" wrapText="1"/>
    </xf>
    <xf numFmtId="0" fontId="79" fillId="9" borderId="0" xfId="2" applyFont="1" applyFill="1"/>
    <xf numFmtId="0" fontId="81" fillId="0" borderId="0" xfId="2" applyFont="1"/>
    <xf numFmtId="0" fontId="79" fillId="9" borderId="0" xfId="0" applyFont="1" applyFill="1"/>
    <xf numFmtId="6" fontId="82" fillId="9" borderId="0" xfId="0" applyNumberFormat="1" applyFont="1" applyFill="1" applyAlignment="1">
      <alignment horizontal="right" vertical="center" wrapText="1"/>
    </xf>
    <xf numFmtId="9" fontId="82" fillId="9" borderId="0" xfId="0" applyNumberFormat="1" applyFont="1" applyFill="1" applyAlignment="1">
      <alignment horizontal="right" vertical="center" wrapText="1"/>
    </xf>
    <xf numFmtId="9" fontId="2" fillId="0" borderId="0" xfId="1" applyFont="1"/>
    <xf numFmtId="168" fontId="6" fillId="26" borderId="9" xfId="0" applyNumberFormat="1" applyFont="1" applyFill="1" applyBorder="1"/>
    <xf numFmtId="10" fontId="82" fillId="9" borderId="0" xfId="0" applyNumberFormat="1" applyFont="1" applyFill="1" applyAlignment="1">
      <alignment horizontal="right" vertical="center" wrapText="1"/>
    </xf>
    <xf numFmtId="3" fontId="83" fillId="0" borderId="0" xfId="0" applyNumberFormat="1" applyFont="1"/>
    <xf numFmtId="0" fontId="12" fillId="5" borderId="51" xfId="2" applyFont="1" applyFill="1" applyBorder="1" applyAlignment="1">
      <alignment vertical="center"/>
    </xf>
    <xf numFmtId="0" fontId="14" fillId="6" borderId="45" xfId="2" applyFont="1" applyFill="1" applyBorder="1" applyAlignment="1">
      <alignment vertical="center"/>
    </xf>
    <xf numFmtId="0" fontId="12" fillId="14" borderId="51" xfId="2" applyFont="1" applyFill="1" applyBorder="1"/>
    <xf numFmtId="0" fontId="14" fillId="6" borderId="45" xfId="2" applyFont="1" applyFill="1" applyBorder="1"/>
    <xf numFmtId="0" fontId="10" fillId="3" borderId="22" xfId="2" applyFont="1" applyFill="1" applyBorder="1" applyAlignment="1">
      <alignment horizontal="left"/>
    </xf>
    <xf numFmtId="0" fontId="10" fillId="3" borderId="21" xfId="2" applyFont="1" applyFill="1" applyBorder="1" applyAlignment="1">
      <alignment horizontal="left"/>
    </xf>
    <xf numFmtId="0" fontId="10" fillId="3" borderId="1" xfId="2" applyFont="1" applyFill="1" applyBorder="1" applyAlignment="1">
      <alignment horizontal="left"/>
    </xf>
    <xf numFmtId="0" fontId="12" fillId="5" borderId="4" xfId="2" applyFont="1" applyFill="1" applyBorder="1" applyAlignment="1">
      <alignment vertical="center"/>
    </xf>
    <xf numFmtId="0" fontId="14" fillId="6" borderId="6" xfId="2" applyFont="1" applyFill="1" applyBorder="1" applyAlignment="1">
      <alignment vertical="center"/>
    </xf>
    <xf numFmtId="0" fontId="12" fillId="14" borderId="4" xfId="2" applyFont="1" applyFill="1" applyBorder="1"/>
    <xf numFmtId="0" fontId="14" fillId="6" borderId="6" xfId="2" applyFont="1" applyFill="1" applyBorder="1"/>
    <xf numFmtId="0" fontId="38" fillId="23" borderId="51" xfId="0" applyFont="1" applyFill="1" applyBorder="1"/>
    <xf numFmtId="0" fontId="38" fillId="23" borderId="45" xfId="0" applyFont="1" applyFill="1" applyBorder="1"/>
    <xf numFmtId="0" fontId="38" fillId="31" borderId="51" xfId="0" applyFont="1" applyFill="1" applyBorder="1"/>
    <xf numFmtId="0" fontId="38" fillId="31" borderId="45" xfId="0" applyFont="1" applyFill="1" applyBorder="1"/>
    <xf numFmtId="0" fontId="60" fillId="5" borderId="51" xfId="2" applyFont="1" applyFill="1" applyBorder="1" applyAlignment="1">
      <alignment vertical="center"/>
    </xf>
    <xf numFmtId="0" fontId="62" fillId="6" borderId="45" xfId="2" applyFont="1" applyFill="1" applyBorder="1" applyAlignment="1">
      <alignment vertical="center"/>
    </xf>
    <xf numFmtId="0" fontId="60" fillId="14" borderId="51" xfId="2" applyFont="1" applyFill="1" applyBorder="1"/>
    <xf numFmtId="0" fontId="62" fillId="6" borderId="45" xfId="2" applyFont="1" applyFill="1" applyBorder="1"/>
    <xf numFmtId="0" fontId="57" fillId="3" borderId="22" xfId="2" applyFont="1" applyFill="1" applyBorder="1" applyAlignment="1">
      <alignment horizontal="left"/>
    </xf>
    <xf numFmtId="0" fontId="57" fillId="3" borderId="21" xfId="2" applyFont="1" applyFill="1" applyBorder="1" applyAlignment="1">
      <alignment horizontal="left"/>
    </xf>
    <xf numFmtId="0" fontId="57" fillId="3" borderId="1" xfId="2" applyFont="1" applyFill="1" applyBorder="1" applyAlignment="1">
      <alignment horizontal="left"/>
    </xf>
  </cellXfs>
  <cellStyles count="3">
    <cellStyle name="Normal" xfId="0" builtinId="0"/>
    <cellStyle name="Normal 2" xfId="2" xr:uid="{6F320546-6BBD-465D-B4C5-03E030AE0734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07%20Miia/00.%20EEFF/2026/Miia_Seguimiento%202026.xlsx" TargetMode="External"/><Relationship Id="rId2" Type="http://schemas.openxmlformats.org/officeDocument/2006/relationships/externalLinkPath" Target="https://calidadpascual.sharepoint.com/sites/OpenInnovationTeam/Documentos%20compartidos/01%20Venture%20Building/07%20Miia/00.%20EEFF/2026/Miia_Seguimiento%202026.xlsx" TargetMode="External"/><Relationship Id="rId1" Type="http://schemas.openxmlformats.org/officeDocument/2006/relationships/externalLinkPath" Target="/sites/OpenInnovationTeam/Documentos%20compartidos/01%20Venture%20Building/07%20Miia/00.%20EEFF/2026/Miia_Seguimiento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port. k "/>
      <sheetName val="Comentarios"/>
      <sheetName val="Gráficos"/>
      <sheetName val="BP P&amp;L"/>
      <sheetName val="Ene P&amp;L "/>
      <sheetName val="Feb P&amp;L "/>
      <sheetName val=" P&amp;L (act + Forecast)"/>
      <sheetName val="Bridge"/>
    </sheetNames>
    <sheetDataSet>
      <sheetData sheetId="0"/>
      <sheetData sheetId="1"/>
      <sheetData sheetId="2"/>
      <sheetData sheetId="3"/>
      <sheetData sheetId="4"/>
      <sheetData sheetId="5"/>
      <sheetData sheetId="6">
        <row r="11">
          <cell r="F11">
            <v>27</v>
          </cell>
          <cell r="G11">
            <v>42</v>
          </cell>
          <cell r="H11">
            <v>62</v>
          </cell>
          <cell r="I11">
            <v>52</v>
          </cell>
          <cell r="J11">
            <v>63</v>
          </cell>
          <cell r="K11">
            <v>127.9025</v>
          </cell>
          <cell r="L11">
            <v>128.49062499999999</v>
          </cell>
          <cell r="M11">
            <v>86.89815625</v>
          </cell>
          <cell r="N11">
            <v>188.31615625000003</v>
          </cell>
          <cell r="O11">
            <v>168.05356406250002</v>
          </cell>
          <cell r="P11">
            <v>156.28524226562502</v>
          </cell>
          <cell r="Q11">
            <v>151.28554437890625</v>
          </cell>
        </row>
        <row r="15">
          <cell r="K15">
            <v>1.9730351857941468E-2</v>
          </cell>
        </row>
        <row r="17">
          <cell r="F17">
            <v>0</v>
          </cell>
          <cell r="G17">
            <v>9.52380952380949E-3</v>
          </cell>
          <cell r="H17">
            <v>1.4925373134328401E-2</v>
          </cell>
          <cell r="I17">
            <v>0</v>
          </cell>
          <cell r="J17">
            <v>1.3227513227513255E-2</v>
          </cell>
        </row>
        <row r="21">
          <cell r="F21">
            <v>4546</v>
          </cell>
          <cell r="G21">
            <v>5080</v>
          </cell>
          <cell r="H21">
            <v>10504</v>
          </cell>
          <cell r="I21">
            <v>14327</v>
          </cell>
          <cell r="J21">
            <v>11037</v>
          </cell>
          <cell r="K21">
            <v>22498.084321557617</v>
          </cell>
          <cell r="L21">
            <v>23744.861325317885</v>
          </cell>
          <cell r="M21">
            <v>22939.390023099673</v>
          </cell>
          <cell r="N21">
            <v>60524.649925384118</v>
          </cell>
          <cell r="O21">
            <v>33331.031709529248</v>
          </cell>
          <cell r="P21">
            <v>35794.352321295846</v>
          </cell>
          <cell r="Q21">
            <v>38649.995764309562</v>
          </cell>
          <cell r="T21">
            <v>502554.09514784999</v>
          </cell>
        </row>
        <row r="23">
          <cell r="F23">
            <v>-4242</v>
          </cell>
          <cell r="G23">
            <v>-5207</v>
          </cell>
          <cell r="H23">
            <v>-12412</v>
          </cell>
          <cell r="I23">
            <v>-11770</v>
          </cell>
          <cell r="J23">
            <v>-9859</v>
          </cell>
          <cell r="K23">
            <v>-16050.3806</v>
          </cell>
          <cell r="L23">
            <v>-15088.982150000002</v>
          </cell>
          <cell r="M23">
            <v>-11548.2557375</v>
          </cell>
          <cell r="N23">
            <v>-36363.500537500004</v>
          </cell>
          <cell r="O23">
            <v>-22639.533564375</v>
          </cell>
          <cell r="P23">
            <v>-19841.63472259375</v>
          </cell>
          <cell r="Q23">
            <v>-22451.406378723441</v>
          </cell>
          <cell r="T23">
            <v>-246109.02014368901</v>
          </cell>
        </row>
        <row r="30">
          <cell r="F30">
            <v>-11629.333333333334</v>
          </cell>
          <cell r="G30">
            <v>-21046.333333333332</v>
          </cell>
          <cell r="H30">
            <v>-16668.333333333336</v>
          </cell>
          <cell r="I30">
            <v>-16708</v>
          </cell>
          <cell r="J30">
            <v>-12802</v>
          </cell>
          <cell r="K30">
            <v>-22296.768541666672</v>
          </cell>
          <cell r="L30">
            <v>-22045.653635416667</v>
          </cell>
          <cell r="M30">
            <v>-19928.566666666669</v>
          </cell>
          <cell r="N30">
            <v>-22252.907983854169</v>
          </cell>
          <cell r="O30">
            <v>-27079.708383046876</v>
          </cell>
          <cell r="P30">
            <v>-25732.908802199221</v>
          </cell>
          <cell r="Q30">
            <v>-24609.780642309179</v>
          </cell>
          <cell r="T30">
            <v>-277070.47901717131</v>
          </cell>
        </row>
        <row r="45">
          <cell r="F45">
            <v>-3350</v>
          </cell>
          <cell r="G45">
            <v>-3305</v>
          </cell>
          <cell r="H45">
            <v>-3644</v>
          </cell>
          <cell r="I45">
            <v>-3524</v>
          </cell>
          <cell r="J45">
            <v>-2400</v>
          </cell>
          <cell r="K45">
            <v>-3880.1</v>
          </cell>
          <cell r="L45">
            <v>-3880.1</v>
          </cell>
          <cell r="M45">
            <v>-3390.05</v>
          </cell>
          <cell r="N45">
            <v>-4076.12</v>
          </cell>
          <cell r="O45">
            <v>-3880.1</v>
          </cell>
          <cell r="P45">
            <v>-3880.1</v>
          </cell>
          <cell r="Q45">
            <v>-3880.1</v>
          </cell>
          <cell r="T45">
            <v>-48018.856</v>
          </cell>
        </row>
        <row r="46">
          <cell r="F46">
            <v>-3822</v>
          </cell>
          <cell r="G46">
            <v>-5126</v>
          </cell>
          <cell r="H46">
            <v>-5005</v>
          </cell>
          <cell r="I46">
            <v>-4903</v>
          </cell>
          <cell r="J46">
            <v>-7245</v>
          </cell>
          <cell r="K46">
            <v>-7500</v>
          </cell>
          <cell r="L46">
            <v>-7500</v>
          </cell>
          <cell r="M46">
            <v>-4250</v>
          </cell>
          <cell r="N46">
            <v>-8000</v>
          </cell>
          <cell r="O46">
            <v>-8000</v>
          </cell>
          <cell r="P46">
            <v>-8000</v>
          </cell>
          <cell r="Q46">
            <v>-8000</v>
          </cell>
          <cell r="T46">
            <v>-95750</v>
          </cell>
        </row>
        <row r="47">
          <cell r="F47"/>
          <cell r="G47"/>
          <cell r="H47">
            <v>-3024</v>
          </cell>
          <cell r="I47">
            <v>-8792</v>
          </cell>
          <cell r="J47">
            <v>-11781</v>
          </cell>
          <cell r="K47">
            <v>-8000</v>
          </cell>
          <cell r="L47">
            <v>-8000</v>
          </cell>
          <cell r="M47">
            <v>-8000</v>
          </cell>
          <cell r="N47">
            <v>-8000</v>
          </cell>
          <cell r="O47">
            <v>-8000</v>
          </cell>
          <cell r="P47">
            <v>-8000</v>
          </cell>
          <cell r="Q47">
            <v>-8000</v>
          </cell>
        </row>
        <row r="48">
          <cell r="F48">
            <v>0</v>
          </cell>
          <cell r="G48">
            <v>0</v>
          </cell>
          <cell r="H48">
            <v>-2897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-1600</v>
          </cell>
          <cell r="P48">
            <v>0</v>
          </cell>
          <cell r="Q48">
            <v>0</v>
          </cell>
          <cell r="T48">
            <v>-20800</v>
          </cell>
        </row>
        <row r="49"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-39</v>
          </cell>
          <cell r="L49">
            <v>-39</v>
          </cell>
          <cell r="M49">
            <v>-39</v>
          </cell>
          <cell r="N49">
            <v>-39</v>
          </cell>
          <cell r="O49">
            <v>-39</v>
          </cell>
          <cell r="P49">
            <v>-39</v>
          </cell>
          <cell r="Q49">
            <v>-39</v>
          </cell>
          <cell r="T49">
            <v>-34843.451200000003</v>
          </cell>
        </row>
        <row r="50">
          <cell r="F50">
            <v>-1966</v>
          </cell>
          <cell r="G50">
            <v>-1723</v>
          </cell>
          <cell r="H50">
            <v>-2057</v>
          </cell>
          <cell r="I50">
            <v>-1561</v>
          </cell>
          <cell r="J50">
            <v>-4647</v>
          </cell>
          <cell r="K50">
            <v>-2476.65</v>
          </cell>
          <cell r="L50">
            <v>-2476.65</v>
          </cell>
          <cell r="M50">
            <v>-6076.65</v>
          </cell>
          <cell r="N50">
            <v>-2476.65</v>
          </cell>
          <cell r="O50">
            <v>-3923.65</v>
          </cell>
          <cell r="P50">
            <v>-3186.65</v>
          </cell>
          <cell r="Q50">
            <v>-3186.65</v>
          </cell>
          <cell r="T50">
            <v>-44037.209999999992</v>
          </cell>
        </row>
        <row r="60">
          <cell r="F60">
            <v>-1958</v>
          </cell>
          <cell r="G60">
            <v>-1829</v>
          </cell>
          <cell r="H60">
            <v>-2683</v>
          </cell>
          <cell r="I60">
            <v>-2744</v>
          </cell>
          <cell r="J60">
            <v>-2987</v>
          </cell>
          <cell r="K60">
            <v>-2802.5627450904271</v>
          </cell>
          <cell r="L60">
            <v>-3216.183490308958</v>
          </cell>
          <cell r="M60">
            <v>-3340.5023735013856</v>
          </cell>
          <cell r="N60">
            <v>-4110.0945872222073</v>
          </cell>
          <cell r="O60">
            <v>-4512.8604347762139</v>
          </cell>
          <cell r="P60">
            <v>-5163.6050491856313</v>
          </cell>
          <cell r="Q60">
            <v>-5416.0190371801646</v>
          </cell>
          <cell r="T60">
            <v>-42369.945147034094</v>
          </cell>
        </row>
        <row r="73">
          <cell r="T73">
            <v>502554.09514784953</v>
          </cell>
        </row>
        <row r="74">
          <cell r="F74">
            <v>4121</v>
          </cell>
          <cell r="G74">
            <v>4731</v>
          </cell>
          <cell r="H74">
            <v>6294</v>
          </cell>
          <cell r="I74">
            <v>8965</v>
          </cell>
          <cell r="J74">
            <v>14314</v>
          </cell>
        </row>
        <row r="75">
          <cell r="F75">
            <v>1540</v>
          </cell>
          <cell r="G75"/>
          <cell r="H75">
            <v>90</v>
          </cell>
          <cell r="I75">
            <v>1237</v>
          </cell>
          <cell r="J75">
            <v>0</v>
          </cell>
        </row>
        <row r="76">
          <cell r="F76">
            <v>-2192</v>
          </cell>
          <cell r="G76">
            <v>-744</v>
          </cell>
          <cell r="H76">
            <v>-1110</v>
          </cell>
          <cell r="I76">
            <v>-1889</v>
          </cell>
          <cell r="J76">
            <v>-2425</v>
          </cell>
        </row>
        <row r="77">
          <cell r="F77">
            <v>100000</v>
          </cell>
          <cell r="G77">
            <v>0</v>
          </cell>
          <cell r="H77">
            <v>250000</v>
          </cell>
          <cell r="I77">
            <v>0</v>
          </cell>
          <cell r="J77">
            <v>0</v>
          </cell>
        </row>
        <row r="78">
          <cell r="T78">
            <v>-766629.01636086078</v>
          </cell>
        </row>
        <row r="79">
          <cell r="F79">
            <v>-8526</v>
          </cell>
          <cell r="G79">
            <v>-4617</v>
          </cell>
          <cell r="H79">
            <v>-10614</v>
          </cell>
          <cell r="I79">
            <v>-17675</v>
          </cell>
          <cell r="J79">
            <v>-23128</v>
          </cell>
          <cell r="T79">
            <v>-246109.02014368944</v>
          </cell>
        </row>
        <row r="80">
          <cell r="F80">
            <v>-15966</v>
          </cell>
          <cell r="G80">
            <v>-2962</v>
          </cell>
          <cell r="H80">
            <v>-23776</v>
          </cell>
          <cell r="I80">
            <v>-25406</v>
          </cell>
          <cell r="J80">
            <v>-11297</v>
          </cell>
          <cell r="T80">
            <v>-277070.47901717131</v>
          </cell>
        </row>
        <row r="81">
          <cell r="F81">
            <v>-12582</v>
          </cell>
          <cell r="G81">
            <v>-10131</v>
          </cell>
          <cell r="H81">
            <v>-7420</v>
          </cell>
          <cell r="I81">
            <v>-17781</v>
          </cell>
          <cell r="J81">
            <v>-13848</v>
          </cell>
          <cell r="T81">
            <v>-243449.51720000006</v>
          </cell>
        </row>
        <row r="82">
          <cell r="T82">
            <v>0</v>
          </cell>
        </row>
        <row r="83">
          <cell r="F83">
            <v>-85729</v>
          </cell>
          <cell r="G83">
            <v>-8258</v>
          </cell>
          <cell r="H83">
            <v>-91667</v>
          </cell>
          <cell r="I83">
            <v>-25874</v>
          </cell>
          <cell r="J83">
            <v>-17268</v>
          </cell>
          <cell r="T83">
            <v>-423884.24601725501</v>
          </cell>
        </row>
        <row r="89">
          <cell r="F89">
            <v>-3160.41</v>
          </cell>
          <cell r="G89"/>
          <cell r="H89"/>
          <cell r="I89"/>
          <cell r="J89"/>
        </row>
        <row r="95">
          <cell r="B95">
            <v>72344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8D9D8-DF64-47CC-AEDA-5B02C217A315}">
  <sheetPr>
    <tabColor theme="0" tint="-4.9989318521683403E-2"/>
    <outlinePr summaryBelow="0" summaryRight="0"/>
    <pageSetUpPr fitToPage="1"/>
  </sheetPr>
  <dimension ref="A1:Q46"/>
  <sheetViews>
    <sheetView showGridLines="0" zoomScaleNormal="100" workbookViewId="0">
      <pane ySplit="5" topLeftCell="A6" activePane="bottomLeft" state="frozen"/>
      <selection pane="bottomLeft" activeCell="C50" sqref="C50"/>
    </sheetView>
  </sheetViews>
  <sheetFormatPr baseColWidth="10" defaultColWidth="14.42578125" defaultRowHeight="15" customHeight="1" outlineLevelRow="2" outlineLevelCol="1" x14ac:dyDescent="0.25"/>
  <cols>
    <col min="1" max="1" width="4.42578125" style="5" customWidth="1"/>
    <col min="2" max="2" width="33.85546875" style="5" customWidth="1"/>
    <col min="3" max="3" width="10.28515625" style="5" customWidth="1"/>
    <col min="4" max="4" width="10.5703125" style="5" customWidth="1" outlineLevel="1"/>
    <col min="5" max="5" width="10.140625" style="5" customWidth="1" outlineLevel="1"/>
    <col min="6" max="12" width="10.7109375" style="5" customWidth="1" outlineLevel="1"/>
    <col min="13" max="13" width="9.28515625" style="5" customWidth="1" outlineLevel="1"/>
    <col min="14" max="14" width="10.28515625" style="5" customWidth="1" outlineLevel="1"/>
    <col min="15" max="15" width="12.7109375" style="5" customWidth="1"/>
    <col min="16" max="16" width="3.5703125" customWidth="1"/>
    <col min="17" max="16384" width="14.42578125" style="5"/>
  </cols>
  <sheetData>
    <row r="1" spans="1:17" ht="22.5" customHeight="1" x14ac:dyDescent="0.25">
      <c r="A1" s="1"/>
      <c r="B1" s="2" t="s">
        <v>0</v>
      </c>
      <c r="C1" s="2"/>
      <c r="D1" s="2"/>
      <c r="E1" s="2"/>
      <c r="F1" s="2"/>
      <c r="G1" s="2"/>
      <c r="H1" s="3"/>
      <c r="I1" s="3"/>
      <c r="J1" s="3"/>
      <c r="K1" s="3"/>
      <c r="L1" s="3"/>
      <c r="M1" s="4"/>
      <c r="N1" s="4"/>
      <c r="O1" s="4"/>
    </row>
    <row r="2" spans="1:17" ht="26.25" customHeight="1" x14ac:dyDescent="0.25">
      <c r="A2" s="1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4"/>
      <c r="N2" s="4"/>
      <c r="O2" s="4"/>
    </row>
    <row r="3" spans="1:17" ht="15.75" customHeight="1" x14ac:dyDescent="0.25">
      <c r="A3" s="7"/>
      <c r="B3" s="8"/>
      <c r="C3" s="11" t="s">
        <v>1</v>
      </c>
      <c r="D3" s="11" t="s">
        <v>1</v>
      </c>
      <c r="E3" s="11" t="s">
        <v>1</v>
      </c>
      <c r="F3" s="11" t="s">
        <v>1</v>
      </c>
      <c r="G3" s="11" t="s">
        <v>1</v>
      </c>
      <c r="H3" s="11" t="s">
        <v>1</v>
      </c>
      <c r="I3" s="11" t="s">
        <v>1</v>
      </c>
      <c r="J3" s="11" t="s">
        <v>1</v>
      </c>
      <c r="K3" s="11" t="s">
        <v>1</v>
      </c>
      <c r="L3" s="11" t="s">
        <v>1</v>
      </c>
      <c r="M3" s="11" t="s">
        <v>1</v>
      </c>
      <c r="N3" s="11" t="s">
        <v>1</v>
      </c>
      <c r="O3" s="11" t="s">
        <v>1</v>
      </c>
    </row>
    <row r="4" spans="1:17" ht="15.75" customHeight="1" x14ac:dyDescent="0.25">
      <c r="A4" s="12"/>
      <c r="B4" s="515" t="s">
        <v>2</v>
      </c>
      <c r="C4" s="13">
        <v>2026</v>
      </c>
      <c r="D4" s="13">
        <v>2026</v>
      </c>
      <c r="E4" s="13">
        <v>2026</v>
      </c>
      <c r="F4" s="13">
        <v>2026</v>
      </c>
      <c r="G4" s="13">
        <v>2026</v>
      </c>
      <c r="H4" s="13">
        <v>2026</v>
      </c>
      <c r="I4" s="13">
        <v>2026</v>
      </c>
      <c r="J4" s="13">
        <v>2026</v>
      </c>
      <c r="K4" s="13">
        <v>2026</v>
      </c>
      <c r="L4" s="13">
        <v>2026</v>
      </c>
      <c r="M4" s="13">
        <v>2026</v>
      </c>
      <c r="N4" s="13">
        <v>2026</v>
      </c>
      <c r="O4" s="14">
        <v>2026</v>
      </c>
    </row>
    <row r="5" spans="1:17" ht="12.75" customHeight="1" x14ac:dyDescent="0.3">
      <c r="A5" s="15"/>
      <c r="B5" s="516"/>
      <c r="C5" s="16" t="s">
        <v>3</v>
      </c>
      <c r="D5" s="17" t="s">
        <v>4</v>
      </c>
      <c r="E5" s="17" t="s">
        <v>5</v>
      </c>
      <c r="F5" s="17" t="s">
        <v>6</v>
      </c>
      <c r="G5" s="17" t="s">
        <v>7</v>
      </c>
      <c r="H5" s="17" t="s">
        <v>8</v>
      </c>
      <c r="I5" s="17" t="s">
        <v>9</v>
      </c>
      <c r="J5" s="17" t="s">
        <v>10</v>
      </c>
      <c r="K5" s="17" t="s">
        <v>11</v>
      </c>
      <c r="L5" s="17" t="s">
        <v>12</v>
      </c>
      <c r="M5" s="17" t="s">
        <v>13</v>
      </c>
      <c r="N5" s="17" t="s">
        <v>14</v>
      </c>
      <c r="O5" s="10" t="s">
        <v>15</v>
      </c>
    </row>
    <row r="6" spans="1:17" ht="9.6" customHeight="1" x14ac:dyDescent="0.25">
      <c r="A6" s="18"/>
      <c r="B6" s="19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</row>
    <row r="7" spans="1:17" ht="15.75" customHeight="1" x14ac:dyDescent="0.25">
      <c r="A7" s="18"/>
      <c r="B7" s="22" t="s">
        <v>16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>
        <f>+SUM(C7:N7)</f>
        <v>0</v>
      </c>
      <c r="P7" s="24"/>
      <c r="Q7" s="27"/>
    </row>
    <row r="8" spans="1:17" ht="15.75" customHeight="1" x14ac:dyDescent="0.25">
      <c r="A8" s="28"/>
      <c r="B8" s="29" t="s">
        <v>17</v>
      </c>
      <c r="C8" s="30" t="str">
        <f>IFERROR((C7/B7)-1,"na")</f>
        <v>na</v>
      </c>
      <c r="D8" s="30" t="str">
        <f>IFERROR((D7/C7)-1,"na")</f>
        <v>na</v>
      </c>
      <c r="E8" s="30" t="str">
        <f>IFERROR((E7/D7)-1,"na")</f>
        <v>na</v>
      </c>
      <c r="F8" s="30" t="str">
        <f t="shared" ref="F8:N8" si="0">IFERROR((F7/E7)-1,"na")</f>
        <v>na</v>
      </c>
      <c r="G8" s="30" t="str">
        <f t="shared" si="0"/>
        <v>na</v>
      </c>
      <c r="H8" s="30" t="str">
        <f t="shared" si="0"/>
        <v>na</v>
      </c>
      <c r="I8" s="30" t="str">
        <f t="shared" si="0"/>
        <v>na</v>
      </c>
      <c r="J8" s="30" t="str">
        <f t="shared" si="0"/>
        <v>na</v>
      </c>
      <c r="K8" s="30" t="str">
        <f t="shared" si="0"/>
        <v>na</v>
      </c>
      <c r="L8" s="30" t="str">
        <f t="shared" si="0"/>
        <v>na</v>
      </c>
      <c r="M8" s="30" t="str">
        <f t="shared" si="0"/>
        <v>na</v>
      </c>
      <c r="N8" s="30" t="str">
        <f t="shared" si="0"/>
        <v>na</v>
      </c>
      <c r="O8" s="31"/>
      <c r="P8" s="24"/>
      <c r="Q8" s="34"/>
    </row>
    <row r="9" spans="1:17" ht="15.75" customHeight="1" x14ac:dyDescent="0.25">
      <c r="A9" s="35"/>
      <c r="B9" s="36" t="s">
        <v>18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>
        <f>+SUM(C9:N9)</f>
        <v>0</v>
      </c>
      <c r="P9" s="38"/>
      <c r="Q9" s="34"/>
    </row>
    <row r="10" spans="1:17" ht="15.75" customHeight="1" x14ac:dyDescent="0.25">
      <c r="A10" s="35"/>
      <c r="B10" s="39" t="s">
        <v>19</v>
      </c>
      <c r="C10" s="40">
        <f t="shared" ref="C10:O10" si="1">C7+C9</f>
        <v>0</v>
      </c>
      <c r="D10" s="40">
        <f t="shared" si="1"/>
        <v>0</v>
      </c>
      <c r="E10" s="40">
        <f t="shared" si="1"/>
        <v>0</v>
      </c>
      <c r="F10" s="40">
        <f t="shared" si="1"/>
        <v>0</v>
      </c>
      <c r="G10" s="40">
        <f t="shared" si="1"/>
        <v>0</v>
      </c>
      <c r="H10" s="40">
        <f t="shared" si="1"/>
        <v>0</v>
      </c>
      <c r="I10" s="40">
        <f t="shared" si="1"/>
        <v>0</v>
      </c>
      <c r="J10" s="40">
        <f t="shared" si="1"/>
        <v>0</v>
      </c>
      <c r="K10" s="40">
        <f t="shared" si="1"/>
        <v>0</v>
      </c>
      <c r="L10" s="40">
        <f t="shared" si="1"/>
        <v>0</v>
      </c>
      <c r="M10" s="40">
        <f t="shared" si="1"/>
        <v>0</v>
      </c>
      <c r="N10" s="40">
        <f t="shared" si="1"/>
        <v>0</v>
      </c>
      <c r="O10" s="40">
        <f t="shared" si="1"/>
        <v>0</v>
      </c>
      <c r="P10" s="24"/>
    </row>
    <row r="11" spans="1:17" ht="15.75" customHeight="1" x14ac:dyDescent="0.25">
      <c r="A11" s="28"/>
      <c r="B11" s="41" t="s">
        <v>20</v>
      </c>
      <c r="C11" s="42" t="str">
        <f t="shared" ref="C11:O11" si="2">IFERROR(C10/C7,"na")</f>
        <v>na</v>
      </c>
      <c r="D11" s="42" t="str">
        <f t="shared" si="2"/>
        <v>na</v>
      </c>
      <c r="E11" s="42" t="str">
        <f t="shared" si="2"/>
        <v>na</v>
      </c>
      <c r="F11" s="42" t="str">
        <f t="shared" si="2"/>
        <v>na</v>
      </c>
      <c r="G11" s="42" t="str">
        <f t="shared" si="2"/>
        <v>na</v>
      </c>
      <c r="H11" s="42" t="str">
        <f t="shared" si="2"/>
        <v>na</v>
      </c>
      <c r="I11" s="42" t="str">
        <f t="shared" si="2"/>
        <v>na</v>
      </c>
      <c r="J11" s="42" t="str">
        <f t="shared" si="2"/>
        <v>na</v>
      </c>
      <c r="K11" s="42" t="str">
        <f t="shared" si="2"/>
        <v>na</v>
      </c>
      <c r="L11" s="42" t="str">
        <f t="shared" si="2"/>
        <v>na</v>
      </c>
      <c r="M11" s="42" t="str">
        <f t="shared" si="2"/>
        <v>na</v>
      </c>
      <c r="N11" s="42" t="str">
        <f t="shared" si="2"/>
        <v>na</v>
      </c>
      <c r="O11" s="42" t="str">
        <f t="shared" si="2"/>
        <v>na</v>
      </c>
      <c r="P11" s="24"/>
    </row>
    <row r="12" spans="1:17" ht="15.75" customHeight="1" x14ac:dyDescent="0.25">
      <c r="A12" s="18"/>
      <c r="B12" s="43" t="s">
        <v>21</v>
      </c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>
        <f>+SUM(C12:N12)</f>
        <v>0</v>
      </c>
      <c r="P12" s="24"/>
    </row>
    <row r="13" spans="1:17" ht="15.75" customHeight="1" x14ac:dyDescent="0.25">
      <c r="A13" s="47"/>
      <c r="B13" s="48" t="s">
        <v>22</v>
      </c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>
        <f>+SUM(C13:N13)</f>
        <v>0</v>
      </c>
      <c r="P13" s="24"/>
    </row>
    <row r="14" spans="1:17" ht="15.75" customHeight="1" x14ac:dyDescent="0.25">
      <c r="A14" s="50"/>
      <c r="B14" s="51" t="s">
        <v>23</v>
      </c>
      <c r="C14" s="52">
        <f t="shared" ref="C14:O14" si="3">C7+C9+C12</f>
        <v>0</v>
      </c>
      <c r="D14" s="52">
        <f t="shared" si="3"/>
        <v>0</v>
      </c>
      <c r="E14" s="52">
        <f t="shared" si="3"/>
        <v>0</v>
      </c>
      <c r="F14" s="52">
        <f t="shared" si="3"/>
        <v>0</v>
      </c>
      <c r="G14" s="52">
        <f t="shared" si="3"/>
        <v>0</v>
      </c>
      <c r="H14" s="52">
        <f t="shared" si="3"/>
        <v>0</v>
      </c>
      <c r="I14" s="52">
        <f t="shared" si="3"/>
        <v>0</v>
      </c>
      <c r="J14" s="52">
        <f t="shared" si="3"/>
        <v>0</v>
      </c>
      <c r="K14" s="52">
        <f t="shared" si="3"/>
        <v>0</v>
      </c>
      <c r="L14" s="52">
        <f t="shared" si="3"/>
        <v>0</v>
      </c>
      <c r="M14" s="52">
        <f t="shared" si="3"/>
        <v>0</v>
      </c>
      <c r="N14" s="52">
        <f t="shared" si="3"/>
        <v>0</v>
      </c>
      <c r="O14" s="52">
        <f t="shared" si="3"/>
        <v>0</v>
      </c>
      <c r="P14" s="24"/>
    </row>
    <row r="15" spans="1:17" ht="15.75" customHeight="1" x14ac:dyDescent="0.25">
      <c r="A15" s="50"/>
      <c r="B15" s="41" t="s">
        <v>20</v>
      </c>
      <c r="C15" s="42" t="str">
        <f t="shared" ref="C15:N15" si="4">IFERROR(C14/C7,"na")</f>
        <v>na</v>
      </c>
      <c r="D15" s="42" t="str">
        <f t="shared" si="4"/>
        <v>na</v>
      </c>
      <c r="E15" s="42" t="str">
        <f t="shared" si="4"/>
        <v>na</v>
      </c>
      <c r="F15" s="42" t="str">
        <f t="shared" si="4"/>
        <v>na</v>
      </c>
      <c r="G15" s="42" t="str">
        <f t="shared" si="4"/>
        <v>na</v>
      </c>
      <c r="H15" s="42" t="str">
        <f t="shared" si="4"/>
        <v>na</v>
      </c>
      <c r="I15" s="42" t="str">
        <f t="shared" si="4"/>
        <v>na</v>
      </c>
      <c r="J15" s="42" t="str">
        <f t="shared" si="4"/>
        <v>na</v>
      </c>
      <c r="K15" s="42" t="str">
        <f t="shared" si="4"/>
        <v>na</v>
      </c>
      <c r="L15" s="42" t="str">
        <f t="shared" si="4"/>
        <v>na</v>
      </c>
      <c r="M15" s="42" t="str">
        <f t="shared" si="4"/>
        <v>na</v>
      </c>
      <c r="N15" s="42" t="str">
        <f t="shared" si="4"/>
        <v>na</v>
      </c>
      <c r="O15" s="42" t="str">
        <f>IFERROR(O14/$O$7,"na")</f>
        <v>na</v>
      </c>
      <c r="P15" s="24"/>
    </row>
    <row r="16" spans="1:17" ht="15.75" customHeight="1" x14ac:dyDescent="0.25">
      <c r="A16" s="50"/>
      <c r="B16" s="53" t="s">
        <v>24</v>
      </c>
      <c r="C16" s="54">
        <f>+C18+C19</f>
        <v>0</v>
      </c>
      <c r="D16" s="54">
        <f t="shared" ref="D16:N16" si="5">+D18+D19</f>
        <v>0</v>
      </c>
      <c r="E16" s="54">
        <f t="shared" si="5"/>
        <v>0</v>
      </c>
      <c r="F16" s="54">
        <f t="shared" si="5"/>
        <v>0</v>
      </c>
      <c r="G16" s="54">
        <f t="shared" si="5"/>
        <v>0</v>
      </c>
      <c r="H16" s="54">
        <f t="shared" si="5"/>
        <v>0</v>
      </c>
      <c r="I16" s="54">
        <f t="shared" si="5"/>
        <v>0</v>
      </c>
      <c r="J16" s="54">
        <f t="shared" si="5"/>
        <v>0</v>
      </c>
      <c r="K16" s="54">
        <f t="shared" si="5"/>
        <v>0</v>
      </c>
      <c r="L16" s="54">
        <f t="shared" si="5"/>
        <v>0</v>
      </c>
      <c r="M16" s="54">
        <f t="shared" si="5"/>
        <v>0</v>
      </c>
      <c r="N16" s="54">
        <f t="shared" si="5"/>
        <v>0</v>
      </c>
      <c r="O16" s="54">
        <f>+O18+O19</f>
        <v>0</v>
      </c>
      <c r="P16" s="24"/>
    </row>
    <row r="17" spans="1:16" ht="15.75" customHeight="1" x14ac:dyDescent="0.25">
      <c r="A17" s="57"/>
      <c r="B17" s="58" t="s">
        <v>20</v>
      </c>
      <c r="C17" s="59" t="str">
        <f t="shared" ref="C17:N17" si="6">IFERROR(C16/C7,"na")</f>
        <v>na</v>
      </c>
      <c r="D17" s="59" t="str">
        <f t="shared" si="6"/>
        <v>na</v>
      </c>
      <c r="E17" s="59" t="str">
        <f t="shared" si="6"/>
        <v>na</v>
      </c>
      <c r="F17" s="59" t="str">
        <f t="shared" si="6"/>
        <v>na</v>
      </c>
      <c r="G17" s="59" t="str">
        <f t="shared" si="6"/>
        <v>na</v>
      </c>
      <c r="H17" s="59" t="str">
        <f t="shared" si="6"/>
        <v>na</v>
      </c>
      <c r="I17" s="59" t="str">
        <f t="shared" si="6"/>
        <v>na</v>
      </c>
      <c r="J17" s="59" t="str">
        <f t="shared" si="6"/>
        <v>na</v>
      </c>
      <c r="K17" s="59" t="str">
        <f t="shared" si="6"/>
        <v>na</v>
      </c>
      <c r="L17" s="59" t="str">
        <f t="shared" si="6"/>
        <v>na</v>
      </c>
      <c r="M17" s="59" t="str">
        <f t="shared" si="6"/>
        <v>na</v>
      </c>
      <c r="N17" s="59" t="str">
        <f t="shared" si="6"/>
        <v>na</v>
      </c>
      <c r="O17" s="59" t="str">
        <f>IFERROR(O16/$O$7,"na")</f>
        <v>na</v>
      </c>
      <c r="P17" s="24"/>
    </row>
    <row r="18" spans="1:16" ht="15.75" customHeight="1" x14ac:dyDescent="0.25">
      <c r="A18" s="57"/>
      <c r="B18" s="61" t="s">
        <v>25</v>
      </c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3">
        <f>+SUM(C18:N18)</f>
        <v>0</v>
      </c>
      <c r="P18" s="24"/>
    </row>
    <row r="19" spans="1:16" ht="15.75" customHeight="1" x14ac:dyDescent="0.25">
      <c r="A19" s="64"/>
      <c r="B19" s="61" t="s">
        <v>26</v>
      </c>
      <c r="C19" s="63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3">
        <f>+SUM(C19:N19)</f>
        <v>0</v>
      </c>
      <c r="P19" s="24"/>
    </row>
    <row r="20" spans="1:16" ht="15.75" customHeight="1" x14ac:dyDescent="0.25">
      <c r="A20" s="50"/>
      <c r="B20" s="51" t="s">
        <v>27</v>
      </c>
      <c r="C20" s="52">
        <f t="shared" ref="C20:O20" si="7">C14+C16</f>
        <v>0</v>
      </c>
      <c r="D20" s="52">
        <f t="shared" si="7"/>
        <v>0</v>
      </c>
      <c r="E20" s="52">
        <f t="shared" si="7"/>
        <v>0</v>
      </c>
      <c r="F20" s="52">
        <f t="shared" si="7"/>
        <v>0</v>
      </c>
      <c r="G20" s="52">
        <f t="shared" si="7"/>
        <v>0</v>
      </c>
      <c r="H20" s="52">
        <f t="shared" si="7"/>
        <v>0</v>
      </c>
      <c r="I20" s="52">
        <f t="shared" si="7"/>
        <v>0</v>
      </c>
      <c r="J20" s="52">
        <f t="shared" si="7"/>
        <v>0</v>
      </c>
      <c r="K20" s="52">
        <f t="shared" si="7"/>
        <v>0</v>
      </c>
      <c r="L20" s="52">
        <f t="shared" si="7"/>
        <v>0</v>
      </c>
      <c r="M20" s="52">
        <f t="shared" si="7"/>
        <v>0</v>
      </c>
      <c r="N20" s="52">
        <f t="shared" si="7"/>
        <v>0</v>
      </c>
      <c r="O20" s="52">
        <f t="shared" si="7"/>
        <v>0</v>
      </c>
      <c r="P20" s="24"/>
    </row>
    <row r="21" spans="1:16" ht="15.75" customHeight="1" x14ac:dyDescent="0.25">
      <c r="A21" s="50"/>
      <c r="B21" s="58" t="s">
        <v>20</v>
      </c>
      <c r="C21" s="67" t="str">
        <f t="shared" ref="C21:O21" si="8">IFERROR(C20/C7,"na")</f>
        <v>na</v>
      </c>
      <c r="D21" s="67" t="str">
        <f t="shared" si="8"/>
        <v>na</v>
      </c>
      <c r="E21" s="67" t="str">
        <f t="shared" si="8"/>
        <v>na</v>
      </c>
      <c r="F21" s="67" t="str">
        <f t="shared" si="8"/>
        <v>na</v>
      </c>
      <c r="G21" s="67" t="str">
        <f t="shared" si="8"/>
        <v>na</v>
      </c>
      <c r="H21" s="67" t="str">
        <f t="shared" si="8"/>
        <v>na</v>
      </c>
      <c r="I21" s="67" t="str">
        <f t="shared" si="8"/>
        <v>na</v>
      </c>
      <c r="J21" s="67" t="str">
        <f t="shared" si="8"/>
        <v>na</v>
      </c>
      <c r="K21" s="67" t="str">
        <f t="shared" si="8"/>
        <v>na</v>
      </c>
      <c r="L21" s="67" t="str">
        <f t="shared" si="8"/>
        <v>na</v>
      </c>
      <c r="M21" s="67" t="str">
        <f t="shared" si="8"/>
        <v>na</v>
      </c>
      <c r="N21" s="67" t="str">
        <f t="shared" si="8"/>
        <v>na</v>
      </c>
      <c r="O21" s="67" t="str">
        <f t="shared" si="8"/>
        <v>na</v>
      </c>
    </row>
    <row r="22" spans="1:16" ht="15.75" customHeight="1" x14ac:dyDescent="0.25">
      <c r="A22" s="68"/>
      <c r="B22" s="69" t="s">
        <v>28</v>
      </c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</row>
    <row r="23" spans="1:16" ht="15.75" customHeight="1" x14ac:dyDescent="0.25">
      <c r="A23" s="71"/>
      <c r="B23" s="72" t="s">
        <v>29</v>
      </c>
      <c r="C23" s="73">
        <f t="shared" ref="C23:O23" si="9">C20+C22</f>
        <v>0</v>
      </c>
      <c r="D23" s="73">
        <f t="shared" si="9"/>
        <v>0</v>
      </c>
      <c r="E23" s="73">
        <f t="shared" si="9"/>
        <v>0</v>
      </c>
      <c r="F23" s="73">
        <f t="shared" si="9"/>
        <v>0</v>
      </c>
      <c r="G23" s="73">
        <f t="shared" si="9"/>
        <v>0</v>
      </c>
      <c r="H23" s="73">
        <f t="shared" si="9"/>
        <v>0</v>
      </c>
      <c r="I23" s="73">
        <f t="shared" si="9"/>
        <v>0</v>
      </c>
      <c r="J23" s="73">
        <f t="shared" si="9"/>
        <v>0</v>
      </c>
      <c r="K23" s="73">
        <f t="shared" si="9"/>
        <v>0</v>
      </c>
      <c r="L23" s="73">
        <f t="shared" si="9"/>
        <v>0</v>
      </c>
      <c r="M23" s="73">
        <f t="shared" si="9"/>
        <v>0</v>
      </c>
      <c r="N23" s="73">
        <f t="shared" si="9"/>
        <v>0</v>
      </c>
      <c r="O23" s="73">
        <f t="shared" si="9"/>
        <v>0</v>
      </c>
    </row>
    <row r="24" spans="1:16" ht="15.75" customHeight="1" x14ac:dyDescent="0.25">
      <c r="A24" s="68"/>
      <c r="B24" s="74" t="s">
        <v>20</v>
      </c>
      <c r="C24" s="75" t="str">
        <f t="shared" ref="C24:O24" si="10">IFERROR(C23/C7,"na")</f>
        <v>na</v>
      </c>
      <c r="D24" s="75" t="str">
        <f t="shared" si="10"/>
        <v>na</v>
      </c>
      <c r="E24" s="75" t="str">
        <f t="shared" si="10"/>
        <v>na</v>
      </c>
      <c r="F24" s="75" t="str">
        <f t="shared" si="10"/>
        <v>na</v>
      </c>
      <c r="G24" s="75" t="str">
        <f t="shared" si="10"/>
        <v>na</v>
      </c>
      <c r="H24" s="75" t="str">
        <f t="shared" si="10"/>
        <v>na</v>
      </c>
      <c r="I24" s="75" t="str">
        <f t="shared" si="10"/>
        <v>na</v>
      </c>
      <c r="J24" s="75" t="str">
        <f t="shared" si="10"/>
        <v>na</v>
      </c>
      <c r="K24" s="75" t="str">
        <f t="shared" si="10"/>
        <v>na</v>
      </c>
      <c r="L24" s="75" t="str">
        <f t="shared" si="10"/>
        <v>na</v>
      </c>
      <c r="M24" s="75" t="str">
        <f t="shared" si="10"/>
        <v>na</v>
      </c>
      <c r="N24" s="75" t="str">
        <f t="shared" si="10"/>
        <v>na</v>
      </c>
      <c r="O24" s="75" t="str">
        <f t="shared" si="10"/>
        <v>na</v>
      </c>
    </row>
    <row r="25" spans="1:16" ht="15.75" customHeight="1" x14ac:dyDescent="0.25">
      <c r="A25" s="68"/>
      <c r="B25" s="61" t="s">
        <v>30</v>
      </c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</row>
    <row r="26" spans="1:16" ht="15.75" customHeight="1" x14ac:dyDescent="0.25">
      <c r="A26" s="68"/>
      <c r="B26" s="61" t="s">
        <v>31</v>
      </c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9"/>
      <c r="N26" s="79"/>
      <c r="O26" s="80"/>
    </row>
    <row r="27" spans="1:16" ht="15.75" customHeight="1" x14ac:dyDescent="0.25">
      <c r="A27" s="68"/>
      <c r="B27" s="51" t="s">
        <v>32</v>
      </c>
      <c r="C27" s="52">
        <f t="shared" ref="C27:N27" si="11">C25+C26</f>
        <v>0</v>
      </c>
      <c r="D27" s="52">
        <f t="shared" si="11"/>
        <v>0</v>
      </c>
      <c r="E27" s="52">
        <f t="shared" si="11"/>
        <v>0</v>
      </c>
      <c r="F27" s="52">
        <f t="shared" si="11"/>
        <v>0</v>
      </c>
      <c r="G27" s="52">
        <f t="shared" si="11"/>
        <v>0</v>
      </c>
      <c r="H27" s="52">
        <f t="shared" si="11"/>
        <v>0</v>
      </c>
      <c r="I27" s="52">
        <f t="shared" si="11"/>
        <v>0</v>
      </c>
      <c r="J27" s="52">
        <f t="shared" si="11"/>
        <v>0</v>
      </c>
      <c r="K27" s="52">
        <f t="shared" si="11"/>
        <v>0</v>
      </c>
      <c r="L27" s="52">
        <f t="shared" si="11"/>
        <v>0</v>
      </c>
      <c r="M27" s="52">
        <f t="shared" si="11"/>
        <v>0</v>
      </c>
      <c r="N27" s="52">
        <f t="shared" si="11"/>
        <v>0</v>
      </c>
      <c r="O27" s="52">
        <f>O25+O26</f>
        <v>0</v>
      </c>
    </row>
    <row r="28" spans="1:16" ht="15.75" customHeight="1" x14ac:dyDescent="0.25">
      <c r="A28" s="50"/>
      <c r="B28" s="82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4"/>
      <c r="N28" s="84"/>
      <c r="O28" s="84"/>
    </row>
    <row r="29" spans="1:16" ht="15.75" customHeight="1" x14ac:dyDescent="0.25">
      <c r="A29" s="85"/>
      <c r="B29" s="86"/>
      <c r="C29" s="11" t="s">
        <v>1</v>
      </c>
      <c r="D29" s="11" t="s">
        <v>1</v>
      </c>
      <c r="E29" s="11" t="s">
        <v>1</v>
      </c>
      <c r="F29" s="11" t="s">
        <v>1</v>
      </c>
      <c r="G29" s="11" t="s">
        <v>1</v>
      </c>
      <c r="H29" s="11" t="s">
        <v>1</v>
      </c>
      <c r="I29" s="11" t="s">
        <v>1</v>
      </c>
      <c r="J29" s="11" t="s">
        <v>1</v>
      </c>
      <c r="K29" s="11" t="s">
        <v>1</v>
      </c>
      <c r="L29" s="11" t="s">
        <v>1</v>
      </c>
      <c r="M29" s="11" t="s">
        <v>1</v>
      </c>
      <c r="N29" s="11" t="s">
        <v>1</v>
      </c>
      <c r="O29" s="97"/>
    </row>
    <row r="30" spans="1:16" ht="15.75" customHeight="1" x14ac:dyDescent="0.25">
      <c r="A30" s="85"/>
      <c r="B30" s="517" t="s">
        <v>33</v>
      </c>
      <c r="C30" s="13">
        <v>2026</v>
      </c>
      <c r="D30" s="13">
        <v>2026</v>
      </c>
      <c r="E30" s="13">
        <v>2026</v>
      </c>
      <c r="F30" s="13">
        <v>2026</v>
      </c>
      <c r="G30" s="13">
        <v>2026</v>
      </c>
      <c r="H30" s="13">
        <v>2026</v>
      </c>
      <c r="I30" s="13">
        <v>2026</v>
      </c>
      <c r="J30" s="13">
        <v>2026</v>
      </c>
      <c r="K30" s="13">
        <v>2026</v>
      </c>
      <c r="L30" s="13">
        <v>2026</v>
      </c>
      <c r="M30" s="13">
        <v>2026</v>
      </c>
      <c r="N30" s="89">
        <v>2026</v>
      </c>
      <c r="O30" s="90"/>
    </row>
    <row r="31" spans="1:16" ht="15.75" customHeight="1" outlineLevel="2" x14ac:dyDescent="0.25">
      <c r="A31" s="68"/>
      <c r="B31" s="518"/>
      <c r="C31" s="92" t="s">
        <v>3</v>
      </c>
      <c r="D31" s="92" t="s">
        <v>4</v>
      </c>
      <c r="E31" s="92" t="s">
        <v>5</v>
      </c>
      <c r="F31" s="92" t="s">
        <v>6</v>
      </c>
      <c r="G31" s="92" t="s">
        <v>7</v>
      </c>
      <c r="H31" s="92" t="s">
        <v>8</v>
      </c>
      <c r="I31" s="92" t="s">
        <v>9</v>
      </c>
      <c r="J31" s="92" t="s">
        <v>10</v>
      </c>
      <c r="K31" s="92" t="s">
        <v>11</v>
      </c>
      <c r="L31" s="92" t="s">
        <v>12</v>
      </c>
      <c r="M31" s="92" t="s">
        <v>13</v>
      </c>
      <c r="N31" s="93" t="s">
        <v>14</v>
      </c>
      <c r="O31" s="94"/>
    </row>
    <row r="32" spans="1:16" ht="15.75" customHeight="1" outlineLevel="2" x14ac:dyDescent="0.25">
      <c r="A32" s="68"/>
      <c r="B32" s="95" t="s">
        <v>34</v>
      </c>
      <c r="C32" s="96">
        <f>+SUM(C33:C35)</f>
        <v>0</v>
      </c>
      <c r="D32" s="96">
        <f>+SUM(D33:D35)</f>
        <v>0</v>
      </c>
      <c r="E32" s="96">
        <f>+SUM(E33:E35)</f>
        <v>0</v>
      </c>
      <c r="F32" s="96">
        <f t="shared" ref="F32:N32" si="12">+F7</f>
        <v>0</v>
      </c>
      <c r="G32" s="96">
        <f t="shared" si="12"/>
        <v>0</v>
      </c>
      <c r="H32" s="96">
        <f t="shared" si="12"/>
        <v>0</v>
      </c>
      <c r="I32" s="96">
        <f t="shared" si="12"/>
        <v>0</v>
      </c>
      <c r="J32" s="96">
        <f t="shared" si="12"/>
        <v>0</v>
      </c>
      <c r="K32" s="96">
        <f t="shared" si="12"/>
        <v>0</v>
      </c>
      <c r="L32" s="96">
        <f t="shared" si="12"/>
        <v>0</v>
      </c>
      <c r="M32" s="96">
        <f t="shared" si="12"/>
        <v>0</v>
      </c>
      <c r="N32" s="96">
        <f t="shared" si="12"/>
        <v>0</v>
      </c>
      <c r="O32" s="97"/>
    </row>
    <row r="33" spans="1:16" ht="15.75" customHeight="1" outlineLevel="2" x14ac:dyDescent="0.25">
      <c r="A33" s="68"/>
      <c r="B33" s="99" t="s">
        <v>35</v>
      </c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97"/>
    </row>
    <row r="34" spans="1:16" ht="15.75" customHeight="1" outlineLevel="2" x14ac:dyDescent="0.25">
      <c r="A34" s="68"/>
      <c r="B34" s="99" t="s">
        <v>36</v>
      </c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97"/>
    </row>
    <row r="35" spans="1:16" ht="15.75" customHeight="1" outlineLevel="2" x14ac:dyDescent="0.25">
      <c r="A35" s="68"/>
      <c r="B35" s="104" t="s">
        <v>37</v>
      </c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97"/>
    </row>
    <row r="36" spans="1:16" ht="15.75" customHeight="1" outlineLevel="2" x14ac:dyDescent="0.25">
      <c r="A36" s="68"/>
      <c r="B36" s="106" t="s">
        <v>38</v>
      </c>
      <c r="C36" s="107">
        <f t="shared" ref="C36:N36" si="13">+SUM(C37:C40)</f>
        <v>0</v>
      </c>
      <c r="D36" s="107">
        <f t="shared" si="13"/>
        <v>0</v>
      </c>
      <c r="E36" s="107">
        <f t="shared" si="13"/>
        <v>0</v>
      </c>
      <c r="F36" s="107">
        <f t="shared" si="13"/>
        <v>0</v>
      </c>
      <c r="G36" s="107">
        <f t="shared" si="13"/>
        <v>0</v>
      </c>
      <c r="H36" s="107">
        <f t="shared" si="13"/>
        <v>0</v>
      </c>
      <c r="I36" s="107">
        <f t="shared" si="13"/>
        <v>0</v>
      </c>
      <c r="J36" s="107">
        <f t="shared" si="13"/>
        <v>0</v>
      </c>
      <c r="K36" s="107">
        <f t="shared" si="13"/>
        <v>0</v>
      </c>
      <c r="L36" s="107">
        <f t="shared" si="13"/>
        <v>0</v>
      </c>
      <c r="M36" s="107">
        <f t="shared" si="13"/>
        <v>0</v>
      </c>
      <c r="N36" s="108">
        <f t="shared" si="13"/>
        <v>0</v>
      </c>
      <c r="O36" s="97"/>
    </row>
    <row r="37" spans="1:16" ht="15.75" customHeight="1" outlineLevel="2" x14ac:dyDescent="0.25">
      <c r="A37" s="68"/>
      <c r="B37" s="109" t="s">
        <v>39</v>
      </c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110"/>
    </row>
    <row r="38" spans="1:16" ht="15.75" customHeight="1" outlineLevel="2" x14ac:dyDescent="0.25">
      <c r="A38" s="68"/>
      <c r="B38" s="109" t="s">
        <v>40</v>
      </c>
      <c r="C38" s="80"/>
      <c r="D38" s="110"/>
      <c r="E38" s="110"/>
      <c r="F38" s="80"/>
      <c r="G38" s="80"/>
      <c r="H38" s="80"/>
      <c r="I38" s="80"/>
      <c r="J38" s="80"/>
      <c r="K38" s="80"/>
      <c r="L38" s="80"/>
      <c r="M38" s="80"/>
      <c r="N38" s="80"/>
      <c r="O38" s="110"/>
    </row>
    <row r="39" spans="1:16" ht="15.75" customHeight="1" x14ac:dyDescent="0.25">
      <c r="A39" s="85"/>
      <c r="B39" s="109" t="s">
        <v>41</v>
      </c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110"/>
    </row>
    <row r="40" spans="1:16" ht="15.75" customHeight="1" x14ac:dyDescent="0.25">
      <c r="A40" s="50"/>
      <c r="B40" s="112" t="s">
        <v>42</v>
      </c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110"/>
    </row>
    <row r="41" spans="1:16" ht="15.75" customHeight="1" x14ac:dyDescent="0.25">
      <c r="A41" s="85"/>
      <c r="B41" s="113" t="s">
        <v>43</v>
      </c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</row>
    <row r="42" spans="1:16" ht="15.75" customHeight="1" x14ac:dyDescent="0.25">
      <c r="A42" s="85"/>
      <c r="B42" s="115" t="s">
        <v>44</v>
      </c>
      <c r="C42" s="116">
        <f t="shared" ref="C42:N42" si="14">+C36+C41</f>
        <v>0</v>
      </c>
      <c r="D42" s="117">
        <f t="shared" si="14"/>
        <v>0</v>
      </c>
      <c r="E42" s="117">
        <f t="shared" si="14"/>
        <v>0</v>
      </c>
      <c r="F42" s="117">
        <f t="shared" si="14"/>
        <v>0</v>
      </c>
      <c r="G42" s="117">
        <f t="shared" si="14"/>
        <v>0</v>
      </c>
      <c r="H42" s="117">
        <f t="shared" si="14"/>
        <v>0</v>
      </c>
      <c r="I42" s="117">
        <f t="shared" si="14"/>
        <v>0</v>
      </c>
      <c r="J42" s="117">
        <f t="shared" si="14"/>
        <v>0</v>
      </c>
      <c r="K42" s="117">
        <f t="shared" si="14"/>
        <v>0</v>
      </c>
      <c r="L42" s="117">
        <f t="shared" si="14"/>
        <v>0</v>
      </c>
      <c r="M42" s="117">
        <f t="shared" si="14"/>
        <v>0</v>
      </c>
      <c r="N42" s="118">
        <f t="shared" si="14"/>
        <v>0</v>
      </c>
      <c r="O42" s="97"/>
    </row>
    <row r="43" spans="1:16" s="127" customFormat="1" ht="15.75" customHeight="1" x14ac:dyDescent="0.25">
      <c r="A43" s="71"/>
      <c r="B43" s="120" t="s">
        <v>45</v>
      </c>
      <c r="C43" s="121"/>
      <c r="D43" s="122"/>
      <c r="E43" s="122"/>
      <c r="F43" s="122"/>
      <c r="G43" s="122"/>
      <c r="H43" s="122"/>
      <c r="I43" s="122"/>
      <c r="J43" s="122"/>
      <c r="K43" s="122"/>
      <c r="L43" s="122"/>
      <c r="M43" s="123"/>
      <c r="N43" s="123"/>
      <c r="O43" s="124"/>
      <c r="P43" s="125"/>
    </row>
    <row r="44" spans="1:16" ht="15" customHeight="1" x14ac:dyDescent="0.25">
      <c r="B44" s="128" t="s">
        <v>46</v>
      </c>
      <c r="C44" s="129">
        <f t="shared" ref="C44:N44" si="15">C32+C42+C43</f>
        <v>0</v>
      </c>
      <c r="D44" s="107">
        <f t="shared" si="15"/>
        <v>0</v>
      </c>
      <c r="E44" s="107">
        <f t="shared" si="15"/>
        <v>0</v>
      </c>
      <c r="F44" s="107">
        <f t="shared" si="15"/>
        <v>0</v>
      </c>
      <c r="G44" s="107">
        <f t="shared" si="15"/>
        <v>0</v>
      </c>
      <c r="H44" s="107">
        <f t="shared" si="15"/>
        <v>0</v>
      </c>
      <c r="I44" s="107">
        <f t="shared" si="15"/>
        <v>0</v>
      </c>
      <c r="J44" s="107">
        <f t="shared" si="15"/>
        <v>0</v>
      </c>
      <c r="K44" s="107">
        <f t="shared" si="15"/>
        <v>0</v>
      </c>
      <c r="L44" s="107">
        <f t="shared" si="15"/>
        <v>0</v>
      </c>
      <c r="M44" s="107">
        <f t="shared" si="15"/>
        <v>0</v>
      </c>
      <c r="N44" s="108">
        <f t="shared" si="15"/>
        <v>0</v>
      </c>
      <c r="O44" s="97"/>
    </row>
    <row r="45" spans="1:16" s="34" customFormat="1" ht="15" customHeight="1" x14ac:dyDescent="0.25">
      <c r="B45" s="131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132"/>
    </row>
    <row r="46" spans="1:16" s="34" customFormat="1" ht="15" customHeight="1" x14ac:dyDescent="0.25">
      <c r="B46" s="131"/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132"/>
    </row>
  </sheetData>
  <sheetProtection selectLockedCells="1" selectUnlockedCells="1"/>
  <mergeCells count="2">
    <mergeCell ref="B4:B5"/>
    <mergeCell ref="B30:B31"/>
  </mergeCells>
  <printOptions horizontalCentered="1" verticalCentered="1" gridLines="1"/>
  <pageMargins left="0.7" right="0.7" top="0.75" bottom="0.75" header="0" footer="0"/>
  <pageSetup paperSize="9" scale="33" pageOrder="overThenDown" orientation="portrait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D228D-5125-4454-A0D5-909F6AF89558}">
  <sheetPr>
    <tabColor theme="0" tint="-4.9989318521683403E-2"/>
    <outlinePr summaryBelow="0" summaryRight="0"/>
    <pageSetUpPr fitToPage="1"/>
  </sheetPr>
  <dimension ref="A2:U68"/>
  <sheetViews>
    <sheetView showGridLines="0" zoomScale="55" zoomScaleNormal="55" workbookViewId="0">
      <pane ySplit="6" topLeftCell="A7" activePane="bottomLeft" state="frozen"/>
      <selection pane="bottomLeft" activeCell="C2" sqref="C2"/>
    </sheetView>
  </sheetViews>
  <sheetFormatPr baseColWidth="10" defaultColWidth="14.42578125" defaultRowHeight="15" customHeight="1" outlineLevelRow="2" outlineLevelCol="1" x14ac:dyDescent="0.25"/>
  <cols>
    <col min="1" max="1" width="4.42578125" style="5" customWidth="1"/>
    <col min="2" max="2" width="36.42578125" style="5" bestFit="1" customWidth="1"/>
    <col min="3" max="3" width="10.28515625" style="5" customWidth="1"/>
    <col min="4" max="4" width="10.5703125" style="5" customWidth="1" outlineLevel="1"/>
    <col min="5" max="5" width="10.140625" style="5" customWidth="1" outlineLevel="1"/>
    <col min="6" max="12" width="10.7109375" style="5" customWidth="1" outlineLevel="1"/>
    <col min="13" max="13" width="9.28515625" style="5" customWidth="1" outlineLevel="1"/>
    <col min="14" max="14" width="10.28515625" style="5" customWidth="1" outlineLevel="1"/>
    <col min="15" max="15" width="12.7109375" style="5" customWidth="1"/>
    <col min="16" max="16" width="3.5703125" customWidth="1"/>
    <col min="17" max="17" width="12.7109375" style="5" customWidth="1"/>
    <col min="18" max="18" width="1" customWidth="1"/>
    <col min="19" max="19" width="12.7109375" style="5" customWidth="1"/>
    <col min="20" max="20" width="33.85546875" style="5" customWidth="1"/>
    <col min="21" max="16384" width="14.42578125" style="5"/>
  </cols>
  <sheetData>
    <row r="2" spans="1:21" ht="37.15" customHeight="1" x14ac:dyDescent="0.25">
      <c r="A2" s="1"/>
      <c r="B2" s="169" t="s">
        <v>47</v>
      </c>
      <c r="C2" s="170" t="s">
        <v>48</v>
      </c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213"/>
      <c r="Q2" s="214"/>
      <c r="R2" s="213"/>
      <c r="S2" s="214"/>
      <c r="T2" s="215"/>
    </row>
    <row r="3" spans="1:21" ht="26.25" customHeight="1" x14ac:dyDescent="0.25">
      <c r="A3" s="1"/>
      <c r="B3" s="181"/>
      <c r="C3" s="6"/>
      <c r="D3" s="6"/>
      <c r="E3" s="6"/>
      <c r="F3" s="6"/>
      <c r="G3" s="6"/>
      <c r="H3" s="6"/>
      <c r="I3" s="6"/>
      <c r="J3" s="6"/>
      <c r="K3" s="6"/>
      <c r="L3" s="6"/>
      <c r="M3" s="4"/>
      <c r="N3" s="4"/>
      <c r="O3" s="4"/>
      <c r="Q3" s="4"/>
      <c r="S3" s="4"/>
    </row>
    <row r="4" spans="1:21" ht="15.75" customHeight="1" x14ac:dyDescent="0.25">
      <c r="A4" s="7"/>
      <c r="B4" s="182"/>
      <c r="C4" s="9" t="s">
        <v>49</v>
      </c>
      <c r="D4" s="9" t="s">
        <v>49</v>
      </c>
      <c r="E4" s="9" t="s">
        <v>49</v>
      </c>
      <c r="F4" s="10" t="s">
        <v>50</v>
      </c>
      <c r="G4" s="10" t="s">
        <v>51</v>
      </c>
      <c r="H4" s="10" t="s">
        <v>51</v>
      </c>
      <c r="I4" s="10" t="s">
        <v>51</v>
      </c>
      <c r="J4" s="10" t="s">
        <v>51</v>
      </c>
      <c r="K4" s="10" t="s">
        <v>51</v>
      </c>
      <c r="L4" s="10" t="s">
        <v>51</v>
      </c>
      <c r="M4" s="10" t="s">
        <v>51</v>
      </c>
      <c r="N4" s="10" t="s">
        <v>51</v>
      </c>
      <c r="O4" s="11" t="s">
        <v>52</v>
      </c>
      <c r="Q4" s="11" t="s">
        <v>1</v>
      </c>
    </row>
    <row r="5" spans="1:21" ht="15.75" customHeight="1" x14ac:dyDescent="0.25">
      <c r="A5" s="12"/>
      <c r="B5" s="508" t="s">
        <v>2</v>
      </c>
      <c r="C5" s="13">
        <v>2026</v>
      </c>
      <c r="D5" s="13">
        <v>2026</v>
      </c>
      <c r="E5" s="13">
        <v>2026</v>
      </c>
      <c r="F5" s="13">
        <v>2026</v>
      </c>
      <c r="G5" s="13">
        <v>2026</v>
      </c>
      <c r="H5" s="13">
        <v>2026</v>
      </c>
      <c r="I5" s="13">
        <v>2026</v>
      </c>
      <c r="J5" s="13">
        <v>2026</v>
      </c>
      <c r="K5" s="13">
        <v>2026</v>
      </c>
      <c r="L5" s="13">
        <v>2026</v>
      </c>
      <c r="M5" s="13">
        <v>2026</v>
      </c>
      <c r="N5" s="13">
        <v>2026</v>
      </c>
      <c r="O5" s="14">
        <v>2026</v>
      </c>
      <c r="Q5" s="9">
        <v>2026</v>
      </c>
    </row>
    <row r="6" spans="1:21" ht="12.75" customHeight="1" x14ac:dyDescent="0.3">
      <c r="A6" s="15"/>
      <c r="B6" s="509"/>
      <c r="C6" s="16" t="s">
        <v>3</v>
      </c>
      <c r="D6" s="17" t="s">
        <v>4</v>
      </c>
      <c r="E6" s="17" t="s">
        <v>5</v>
      </c>
      <c r="F6" s="17" t="s">
        <v>6</v>
      </c>
      <c r="G6" s="17" t="s">
        <v>7</v>
      </c>
      <c r="H6" s="17" t="s">
        <v>8</v>
      </c>
      <c r="I6" s="17" t="s">
        <v>9</v>
      </c>
      <c r="J6" s="17" t="s">
        <v>10</v>
      </c>
      <c r="K6" s="17" t="s">
        <v>11</v>
      </c>
      <c r="L6" s="17" t="s">
        <v>12</v>
      </c>
      <c r="M6" s="17" t="s">
        <v>13</v>
      </c>
      <c r="N6" s="17" t="s">
        <v>14</v>
      </c>
      <c r="O6" s="10" t="s">
        <v>15</v>
      </c>
      <c r="Q6" s="11" t="s">
        <v>15</v>
      </c>
      <c r="S6" s="11" t="s">
        <v>53</v>
      </c>
      <c r="T6" s="10" t="s">
        <v>54</v>
      </c>
    </row>
    <row r="7" spans="1:21" ht="9.6" customHeight="1" x14ac:dyDescent="0.25">
      <c r="A7" s="18"/>
      <c r="B7" s="183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Q7" s="20"/>
      <c r="S7" s="20"/>
      <c r="T7" s="21"/>
    </row>
    <row r="8" spans="1:21" ht="15.75" customHeight="1" x14ac:dyDescent="0.25">
      <c r="A8" s="18"/>
      <c r="B8" s="184" t="s">
        <v>16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>
        <f>+SUM(C8:N8)</f>
        <v>0</v>
      </c>
      <c r="P8" s="24"/>
      <c r="Q8" s="23"/>
      <c r="R8" s="24"/>
      <c r="S8" s="25">
        <f>+O8-Q8</f>
        <v>0</v>
      </c>
      <c r="T8" s="26"/>
      <c r="U8" s="27"/>
    </row>
    <row r="9" spans="1:21" ht="15.75" customHeight="1" x14ac:dyDescent="0.25">
      <c r="A9" s="28"/>
      <c r="B9" s="185" t="s">
        <v>17</v>
      </c>
      <c r="C9" s="30" t="str">
        <f>IFERROR((C8/B8)-1,"na")</f>
        <v>na</v>
      </c>
      <c r="D9" s="30" t="str">
        <f>IFERROR((D8/C8)-1,"na")</f>
        <v>na</v>
      </c>
      <c r="E9" s="30" t="str">
        <f>IFERROR((E8/D8)-1,"na")</f>
        <v>na</v>
      </c>
      <c r="F9" s="30" t="str">
        <f t="shared" ref="F9:N9" si="0">IFERROR((F8/E8)-1,"na")</f>
        <v>na</v>
      </c>
      <c r="G9" s="30" t="str">
        <f t="shared" si="0"/>
        <v>na</v>
      </c>
      <c r="H9" s="30" t="str">
        <f t="shared" si="0"/>
        <v>na</v>
      </c>
      <c r="I9" s="30" t="str">
        <f t="shared" si="0"/>
        <v>na</v>
      </c>
      <c r="J9" s="30" t="str">
        <f t="shared" si="0"/>
        <v>na</v>
      </c>
      <c r="K9" s="30" t="str">
        <f t="shared" si="0"/>
        <v>na</v>
      </c>
      <c r="L9" s="30" t="str">
        <f t="shared" si="0"/>
        <v>na</v>
      </c>
      <c r="M9" s="30" t="str">
        <f t="shared" si="0"/>
        <v>na</v>
      </c>
      <c r="N9" s="30" t="str">
        <f t="shared" si="0"/>
        <v>na</v>
      </c>
      <c r="O9" s="31"/>
      <c r="P9" s="24"/>
      <c r="Q9" s="31"/>
      <c r="R9" s="24"/>
      <c r="S9" s="32"/>
      <c r="T9" s="33"/>
      <c r="U9" s="34"/>
    </row>
    <row r="10" spans="1:21" ht="15.75" customHeight="1" x14ac:dyDescent="0.25">
      <c r="A10" s="35"/>
      <c r="B10" s="186" t="s">
        <v>18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>
        <f>+SUM(C10:N10)</f>
        <v>0</v>
      </c>
      <c r="P10" s="38"/>
      <c r="Q10" s="37"/>
      <c r="R10" s="24"/>
      <c r="S10" s="37">
        <f>+O10-Q10</f>
        <v>0</v>
      </c>
      <c r="T10" s="34"/>
      <c r="U10" s="34"/>
    </row>
    <row r="11" spans="1:21" ht="15.75" customHeight="1" x14ac:dyDescent="0.25">
      <c r="A11" s="35"/>
      <c r="B11" s="187" t="s">
        <v>19</v>
      </c>
      <c r="C11" s="40">
        <f t="shared" ref="C11:O11" si="1">C8+C10</f>
        <v>0</v>
      </c>
      <c r="D11" s="40">
        <f t="shared" si="1"/>
        <v>0</v>
      </c>
      <c r="E11" s="40">
        <f t="shared" si="1"/>
        <v>0</v>
      </c>
      <c r="F11" s="40">
        <f t="shared" si="1"/>
        <v>0</v>
      </c>
      <c r="G11" s="40">
        <f t="shared" si="1"/>
        <v>0</v>
      </c>
      <c r="H11" s="40">
        <f t="shared" si="1"/>
        <v>0</v>
      </c>
      <c r="I11" s="40">
        <f t="shared" si="1"/>
        <v>0</v>
      </c>
      <c r="J11" s="40">
        <f t="shared" si="1"/>
        <v>0</v>
      </c>
      <c r="K11" s="40">
        <f t="shared" si="1"/>
        <v>0</v>
      </c>
      <c r="L11" s="40">
        <f t="shared" si="1"/>
        <v>0</v>
      </c>
      <c r="M11" s="40">
        <f t="shared" si="1"/>
        <v>0</v>
      </c>
      <c r="N11" s="40">
        <f t="shared" si="1"/>
        <v>0</v>
      </c>
      <c r="O11" s="40">
        <f t="shared" si="1"/>
        <v>0</v>
      </c>
      <c r="P11" s="24"/>
      <c r="Q11" s="40">
        <f>Q8+Q10</f>
        <v>0</v>
      </c>
      <c r="R11" s="24"/>
      <c r="S11" s="40">
        <f>+O11-Q11</f>
        <v>0</v>
      </c>
    </row>
    <row r="12" spans="1:21" ht="15.75" customHeight="1" x14ac:dyDescent="0.25">
      <c r="A12" s="28"/>
      <c r="B12" s="188" t="s">
        <v>20</v>
      </c>
      <c r="C12" s="172" t="str">
        <f t="shared" ref="C12:O12" si="2">IFERROR(C11/C8,"na")</f>
        <v>na</v>
      </c>
      <c r="D12" s="42" t="str">
        <f t="shared" si="2"/>
        <v>na</v>
      </c>
      <c r="E12" s="42" t="str">
        <f t="shared" si="2"/>
        <v>na</v>
      </c>
      <c r="F12" s="42" t="str">
        <f t="shared" si="2"/>
        <v>na</v>
      </c>
      <c r="G12" s="42" t="str">
        <f t="shared" si="2"/>
        <v>na</v>
      </c>
      <c r="H12" s="42" t="str">
        <f t="shared" si="2"/>
        <v>na</v>
      </c>
      <c r="I12" s="42" t="str">
        <f t="shared" si="2"/>
        <v>na</v>
      </c>
      <c r="J12" s="42" t="str">
        <f t="shared" si="2"/>
        <v>na</v>
      </c>
      <c r="K12" s="42" t="str">
        <f t="shared" si="2"/>
        <v>na</v>
      </c>
      <c r="L12" s="42" t="str">
        <f t="shared" si="2"/>
        <v>na</v>
      </c>
      <c r="M12" s="42" t="str">
        <f t="shared" si="2"/>
        <v>na</v>
      </c>
      <c r="N12" s="42" t="str">
        <f t="shared" si="2"/>
        <v>na</v>
      </c>
      <c r="O12" s="42" t="str">
        <f t="shared" si="2"/>
        <v>na</v>
      </c>
      <c r="P12" s="24"/>
      <c r="Q12" s="42" t="str">
        <f>IFERROR(Q11/Q8,"na")</f>
        <v>na</v>
      </c>
      <c r="R12" s="24"/>
      <c r="S12" s="42"/>
    </row>
    <row r="13" spans="1:21" ht="15.75" customHeight="1" x14ac:dyDescent="0.25">
      <c r="A13" s="18"/>
      <c r="B13" s="189" t="s">
        <v>21</v>
      </c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>
        <f>+SUM(C13:N13)</f>
        <v>0</v>
      </c>
      <c r="P13" s="24"/>
      <c r="Q13" s="44"/>
      <c r="R13" s="24"/>
      <c r="S13" s="45">
        <f>+O13-Q13</f>
        <v>0</v>
      </c>
      <c r="T13" s="46"/>
    </row>
    <row r="14" spans="1:21" ht="15.75" customHeight="1" x14ac:dyDescent="0.25">
      <c r="A14" s="47"/>
      <c r="B14" s="190" t="s">
        <v>22</v>
      </c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>
        <f>+SUM(C14:N14)</f>
        <v>0</v>
      </c>
      <c r="P14" s="24"/>
      <c r="Q14" s="49"/>
      <c r="R14" s="24"/>
      <c r="S14" s="49"/>
    </row>
    <row r="15" spans="1:21" ht="15.75" customHeight="1" x14ac:dyDescent="0.25">
      <c r="A15" s="50"/>
      <c r="B15" s="191" t="s">
        <v>23</v>
      </c>
      <c r="C15" s="52">
        <f t="shared" ref="C15:O15" si="3">C8+C10+C13</f>
        <v>0</v>
      </c>
      <c r="D15" s="52">
        <f t="shared" si="3"/>
        <v>0</v>
      </c>
      <c r="E15" s="52">
        <f t="shared" si="3"/>
        <v>0</v>
      </c>
      <c r="F15" s="52">
        <f t="shared" si="3"/>
        <v>0</v>
      </c>
      <c r="G15" s="52">
        <f t="shared" si="3"/>
        <v>0</v>
      </c>
      <c r="H15" s="52">
        <f t="shared" si="3"/>
        <v>0</v>
      </c>
      <c r="I15" s="52">
        <f t="shared" si="3"/>
        <v>0</v>
      </c>
      <c r="J15" s="52">
        <f t="shared" si="3"/>
        <v>0</v>
      </c>
      <c r="K15" s="52">
        <f t="shared" si="3"/>
        <v>0</v>
      </c>
      <c r="L15" s="52">
        <f t="shared" si="3"/>
        <v>0</v>
      </c>
      <c r="M15" s="52">
        <f t="shared" si="3"/>
        <v>0</v>
      </c>
      <c r="N15" s="52">
        <f t="shared" si="3"/>
        <v>0</v>
      </c>
      <c r="O15" s="52">
        <f t="shared" si="3"/>
        <v>0</v>
      </c>
      <c r="P15" s="24"/>
      <c r="Q15" s="52">
        <f>Q8+Q10+Q13</f>
        <v>0</v>
      </c>
      <c r="R15" s="24"/>
      <c r="S15" s="25">
        <f>+O15-Q15</f>
        <v>0</v>
      </c>
    </row>
    <row r="16" spans="1:21" ht="15.75" customHeight="1" x14ac:dyDescent="0.25">
      <c r="A16" s="50"/>
      <c r="B16" s="188" t="s">
        <v>20</v>
      </c>
      <c r="C16" s="172" t="str">
        <f t="shared" ref="C16:N16" si="4">IFERROR(C15/C8,"na")</f>
        <v>na</v>
      </c>
      <c r="D16" s="42" t="str">
        <f t="shared" si="4"/>
        <v>na</v>
      </c>
      <c r="E16" s="42" t="str">
        <f t="shared" si="4"/>
        <v>na</v>
      </c>
      <c r="F16" s="42" t="str">
        <f t="shared" si="4"/>
        <v>na</v>
      </c>
      <c r="G16" s="42" t="str">
        <f t="shared" si="4"/>
        <v>na</v>
      </c>
      <c r="H16" s="42" t="str">
        <f t="shared" si="4"/>
        <v>na</v>
      </c>
      <c r="I16" s="42" t="str">
        <f t="shared" si="4"/>
        <v>na</v>
      </c>
      <c r="J16" s="42" t="str">
        <f t="shared" si="4"/>
        <v>na</v>
      </c>
      <c r="K16" s="42" t="str">
        <f t="shared" si="4"/>
        <v>na</v>
      </c>
      <c r="L16" s="42" t="str">
        <f t="shared" si="4"/>
        <v>na</v>
      </c>
      <c r="M16" s="42" t="str">
        <f t="shared" si="4"/>
        <v>na</v>
      </c>
      <c r="N16" s="42" t="str">
        <f t="shared" si="4"/>
        <v>na</v>
      </c>
      <c r="O16" s="42" t="str">
        <f>IFERROR(O15/$O$8,"na")</f>
        <v>na</v>
      </c>
      <c r="P16" s="24"/>
      <c r="Q16" s="42" t="str">
        <f>IFERROR(Q15/Q8,"na")</f>
        <v>na</v>
      </c>
      <c r="R16" s="24"/>
      <c r="S16" s="42"/>
    </row>
    <row r="17" spans="1:20" ht="15.75" customHeight="1" x14ac:dyDescent="0.25">
      <c r="A17" s="50"/>
      <c r="B17" s="192" t="s">
        <v>24</v>
      </c>
      <c r="C17" s="54">
        <f>+C19+C20</f>
        <v>0</v>
      </c>
      <c r="D17" s="54">
        <f t="shared" ref="D17:N17" si="5">+D19+D20</f>
        <v>0</v>
      </c>
      <c r="E17" s="54">
        <f t="shared" si="5"/>
        <v>0</v>
      </c>
      <c r="F17" s="54">
        <f t="shared" si="5"/>
        <v>0</v>
      </c>
      <c r="G17" s="54">
        <f t="shared" si="5"/>
        <v>0</v>
      </c>
      <c r="H17" s="54">
        <f t="shared" si="5"/>
        <v>0</v>
      </c>
      <c r="I17" s="54">
        <f t="shared" si="5"/>
        <v>0</v>
      </c>
      <c r="J17" s="54">
        <f t="shared" si="5"/>
        <v>0</v>
      </c>
      <c r="K17" s="54">
        <f t="shared" si="5"/>
        <v>0</v>
      </c>
      <c r="L17" s="54">
        <f t="shared" si="5"/>
        <v>0</v>
      </c>
      <c r="M17" s="54">
        <f t="shared" si="5"/>
        <v>0</v>
      </c>
      <c r="N17" s="54">
        <f t="shared" si="5"/>
        <v>0</v>
      </c>
      <c r="O17" s="54">
        <f>+O19+O20</f>
        <v>0</v>
      </c>
      <c r="P17" s="24"/>
      <c r="Q17" s="55"/>
      <c r="R17" s="24"/>
      <c r="S17" s="56">
        <f>+O17-Q17</f>
        <v>0</v>
      </c>
    </row>
    <row r="18" spans="1:20" ht="15.75" customHeight="1" x14ac:dyDescent="0.25">
      <c r="A18" s="57"/>
      <c r="B18" s="193" t="s">
        <v>20</v>
      </c>
      <c r="C18" s="173" t="str">
        <f t="shared" ref="C18:N18" si="6">IFERROR(C17/C8,"na")</f>
        <v>na</v>
      </c>
      <c r="D18" s="59" t="str">
        <f t="shared" si="6"/>
        <v>na</v>
      </c>
      <c r="E18" s="59" t="str">
        <f t="shared" si="6"/>
        <v>na</v>
      </c>
      <c r="F18" s="59" t="str">
        <f t="shared" si="6"/>
        <v>na</v>
      </c>
      <c r="G18" s="59" t="str">
        <f t="shared" si="6"/>
        <v>na</v>
      </c>
      <c r="H18" s="59" t="str">
        <f t="shared" si="6"/>
        <v>na</v>
      </c>
      <c r="I18" s="59" t="str">
        <f t="shared" si="6"/>
        <v>na</v>
      </c>
      <c r="J18" s="59" t="str">
        <f t="shared" si="6"/>
        <v>na</v>
      </c>
      <c r="K18" s="59" t="str">
        <f t="shared" si="6"/>
        <v>na</v>
      </c>
      <c r="L18" s="59" t="str">
        <f t="shared" si="6"/>
        <v>na</v>
      </c>
      <c r="M18" s="59" t="str">
        <f t="shared" si="6"/>
        <v>na</v>
      </c>
      <c r="N18" s="59" t="str">
        <f t="shared" si="6"/>
        <v>na</v>
      </c>
      <c r="O18" s="59" t="str">
        <f>IFERROR(O17/$O$8,"na")</f>
        <v>na</v>
      </c>
      <c r="P18" s="24"/>
      <c r="Q18" s="59" t="str">
        <f>IFERROR(Q17/$O$8,"na")</f>
        <v>na</v>
      </c>
      <c r="R18" s="24"/>
      <c r="S18" s="60"/>
    </row>
    <row r="19" spans="1:20" ht="15.75" customHeight="1" x14ac:dyDescent="0.25">
      <c r="A19" s="57"/>
      <c r="B19" s="194" t="s">
        <v>25</v>
      </c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3">
        <f>+SUM(C19:N19)</f>
        <v>0</v>
      </c>
      <c r="P19" s="24"/>
      <c r="Q19" s="62"/>
      <c r="R19" s="24"/>
      <c r="S19" s="62">
        <f>+O19-Q19</f>
        <v>0</v>
      </c>
    </row>
    <row r="20" spans="1:20" ht="15.75" customHeight="1" x14ac:dyDescent="0.25">
      <c r="A20" s="64"/>
      <c r="B20" s="194" t="s">
        <v>26</v>
      </c>
      <c r="C20" s="63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3">
        <f>+SUM(C20:N20)</f>
        <v>0</v>
      </c>
      <c r="P20" s="24"/>
      <c r="Q20" s="65"/>
      <c r="R20" s="24"/>
      <c r="S20" s="62">
        <f>+O20-Q20</f>
        <v>0</v>
      </c>
    </row>
    <row r="21" spans="1:20" ht="15.75" customHeight="1" x14ac:dyDescent="0.25">
      <c r="A21" s="50"/>
      <c r="B21" s="191" t="s">
        <v>27</v>
      </c>
      <c r="C21" s="52">
        <f t="shared" ref="C21:O21" si="7">C15+C17</f>
        <v>0</v>
      </c>
      <c r="D21" s="52">
        <f t="shared" si="7"/>
        <v>0</v>
      </c>
      <c r="E21" s="52">
        <f t="shared" si="7"/>
        <v>0</v>
      </c>
      <c r="F21" s="52">
        <f t="shared" si="7"/>
        <v>0</v>
      </c>
      <c r="G21" s="52">
        <f t="shared" si="7"/>
        <v>0</v>
      </c>
      <c r="H21" s="52">
        <f t="shared" si="7"/>
        <v>0</v>
      </c>
      <c r="I21" s="52">
        <f t="shared" si="7"/>
        <v>0</v>
      </c>
      <c r="J21" s="52">
        <f t="shared" si="7"/>
        <v>0</v>
      </c>
      <c r="K21" s="52">
        <f t="shared" si="7"/>
        <v>0</v>
      </c>
      <c r="L21" s="52">
        <f t="shared" si="7"/>
        <v>0</v>
      </c>
      <c r="M21" s="52">
        <f t="shared" si="7"/>
        <v>0</v>
      </c>
      <c r="N21" s="52">
        <f t="shared" si="7"/>
        <v>0</v>
      </c>
      <c r="O21" s="52">
        <f t="shared" si="7"/>
        <v>0</v>
      </c>
      <c r="P21" s="24"/>
      <c r="Q21" s="52"/>
      <c r="R21" s="24"/>
      <c r="S21" s="25">
        <f>+O21-Q21</f>
        <v>0</v>
      </c>
      <c r="T21" s="66"/>
    </row>
    <row r="22" spans="1:20" ht="15.75" customHeight="1" x14ac:dyDescent="0.25">
      <c r="A22" s="50"/>
      <c r="B22" s="193" t="s">
        <v>20</v>
      </c>
      <c r="C22" s="174" t="str">
        <f t="shared" ref="C22:O22" si="8">IFERROR(C21/C8,"na")</f>
        <v>na</v>
      </c>
      <c r="D22" s="67" t="str">
        <f t="shared" si="8"/>
        <v>na</v>
      </c>
      <c r="E22" s="67" t="str">
        <f t="shared" si="8"/>
        <v>na</v>
      </c>
      <c r="F22" s="67" t="str">
        <f t="shared" si="8"/>
        <v>na</v>
      </c>
      <c r="G22" s="67" t="str">
        <f t="shared" si="8"/>
        <v>na</v>
      </c>
      <c r="H22" s="67" t="str">
        <f t="shared" si="8"/>
        <v>na</v>
      </c>
      <c r="I22" s="67" t="str">
        <f t="shared" si="8"/>
        <v>na</v>
      </c>
      <c r="J22" s="67" t="str">
        <f t="shared" si="8"/>
        <v>na</v>
      </c>
      <c r="K22" s="67" t="str">
        <f t="shared" si="8"/>
        <v>na</v>
      </c>
      <c r="L22" s="67" t="str">
        <f t="shared" si="8"/>
        <v>na</v>
      </c>
      <c r="M22" s="67" t="str">
        <f t="shared" si="8"/>
        <v>na</v>
      </c>
      <c r="N22" s="67" t="str">
        <f t="shared" si="8"/>
        <v>na</v>
      </c>
      <c r="O22" s="67" t="str">
        <f t="shared" si="8"/>
        <v>na</v>
      </c>
      <c r="Q22" s="67" t="str">
        <f>IFERROR(Q21/Q8,"na")</f>
        <v>na</v>
      </c>
      <c r="S22" s="58"/>
    </row>
    <row r="23" spans="1:20" ht="15.75" customHeight="1" x14ac:dyDescent="0.25">
      <c r="A23" s="68"/>
      <c r="B23" s="195" t="s">
        <v>28</v>
      </c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Q23" s="70"/>
      <c r="S23" s="70">
        <f>+O23-Q23</f>
        <v>0</v>
      </c>
    </row>
    <row r="24" spans="1:20" ht="15.75" customHeight="1" x14ac:dyDescent="0.25">
      <c r="A24" s="71"/>
      <c r="B24" s="196" t="s">
        <v>29</v>
      </c>
      <c r="C24" s="76">
        <f t="shared" ref="C24:O24" si="9">C21+C23</f>
        <v>0</v>
      </c>
      <c r="D24" s="73">
        <f t="shared" si="9"/>
        <v>0</v>
      </c>
      <c r="E24" s="73">
        <f t="shared" si="9"/>
        <v>0</v>
      </c>
      <c r="F24" s="73">
        <f t="shared" si="9"/>
        <v>0</v>
      </c>
      <c r="G24" s="73">
        <f t="shared" si="9"/>
        <v>0</v>
      </c>
      <c r="H24" s="73">
        <f t="shared" si="9"/>
        <v>0</v>
      </c>
      <c r="I24" s="73">
        <f t="shared" si="9"/>
        <v>0</v>
      </c>
      <c r="J24" s="73">
        <f t="shared" si="9"/>
        <v>0</v>
      </c>
      <c r="K24" s="73">
        <f t="shared" si="9"/>
        <v>0</v>
      </c>
      <c r="L24" s="73">
        <f t="shared" si="9"/>
        <v>0</v>
      </c>
      <c r="M24" s="73">
        <f t="shared" si="9"/>
        <v>0</v>
      </c>
      <c r="N24" s="73">
        <f t="shared" si="9"/>
        <v>0</v>
      </c>
      <c r="O24" s="73">
        <f t="shared" si="9"/>
        <v>0</v>
      </c>
      <c r="Q24" s="73"/>
      <c r="S24" s="73">
        <f>+O24-Q24</f>
        <v>0</v>
      </c>
    </row>
    <row r="25" spans="1:20" ht="15.75" customHeight="1" x14ac:dyDescent="0.25">
      <c r="A25" s="68"/>
      <c r="B25" s="197" t="s">
        <v>20</v>
      </c>
      <c r="C25" s="175" t="str">
        <f t="shared" ref="C25:O25" si="10">IFERROR(C24/C8,"na")</f>
        <v>na</v>
      </c>
      <c r="D25" s="75" t="str">
        <f t="shared" si="10"/>
        <v>na</v>
      </c>
      <c r="E25" s="75" t="str">
        <f t="shared" si="10"/>
        <v>na</v>
      </c>
      <c r="F25" s="75" t="str">
        <f t="shared" si="10"/>
        <v>na</v>
      </c>
      <c r="G25" s="75" t="str">
        <f t="shared" si="10"/>
        <v>na</v>
      </c>
      <c r="H25" s="75" t="str">
        <f t="shared" si="10"/>
        <v>na</v>
      </c>
      <c r="I25" s="75" t="str">
        <f t="shared" si="10"/>
        <v>na</v>
      </c>
      <c r="J25" s="75" t="str">
        <f t="shared" si="10"/>
        <v>na</v>
      </c>
      <c r="K25" s="75" t="str">
        <f t="shared" si="10"/>
        <v>na</v>
      </c>
      <c r="L25" s="75" t="str">
        <f t="shared" si="10"/>
        <v>na</v>
      </c>
      <c r="M25" s="75" t="str">
        <f t="shared" si="10"/>
        <v>na</v>
      </c>
      <c r="N25" s="75" t="str">
        <f t="shared" si="10"/>
        <v>na</v>
      </c>
      <c r="O25" s="75" t="str">
        <f t="shared" si="10"/>
        <v>na</v>
      </c>
      <c r="Q25" s="75">
        <v>-0.60977488656199375</v>
      </c>
      <c r="S25" s="75"/>
    </row>
    <row r="26" spans="1:20" ht="15.75" customHeight="1" x14ac:dyDescent="0.25">
      <c r="A26" s="68"/>
      <c r="B26" s="194" t="s">
        <v>30</v>
      </c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Q26" s="76"/>
      <c r="S26" s="77">
        <f>+O26-Q26</f>
        <v>0</v>
      </c>
    </row>
    <row r="27" spans="1:20" ht="15.75" customHeight="1" x14ac:dyDescent="0.25">
      <c r="A27" s="68"/>
      <c r="B27" s="194" t="s">
        <v>31</v>
      </c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9"/>
      <c r="N27" s="79"/>
      <c r="O27" s="80"/>
      <c r="Q27" s="80"/>
      <c r="S27" s="81">
        <f>+O27-Q27</f>
        <v>0</v>
      </c>
    </row>
    <row r="28" spans="1:20" ht="15.75" customHeight="1" x14ac:dyDescent="0.25">
      <c r="A28" s="68"/>
      <c r="B28" s="191" t="s">
        <v>32</v>
      </c>
      <c r="C28" s="52">
        <f t="shared" ref="C28:N28" si="11">C26+C27</f>
        <v>0</v>
      </c>
      <c r="D28" s="52">
        <f t="shared" si="11"/>
        <v>0</v>
      </c>
      <c r="E28" s="52">
        <f t="shared" si="11"/>
        <v>0</v>
      </c>
      <c r="F28" s="52">
        <f t="shared" si="11"/>
        <v>0</v>
      </c>
      <c r="G28" s="52">
        <f t="shared" si="11"/>
        <v>0</v>
      </c>
      <c r="H28" s="52">
        <f t="shared" si="11"/>
        <v>0</v>
      </c>
      <c r="I28" s="52">
        <f t="shared" si="11"/>
        <v>0</v>
      </c>
      <c r="J28" s="52">
        <f t="shared" si="11"/>
        <v>0</v>
      </c>
      <c r="K28" s="52">
        <f t="shared" si="11"/>
        <v>0</v>
      </c>
      <c r="L28" s="52">
        <f t="shared" si="11"/>
        <v>0</v>
      </c>
      <c r="M28" s="52">
        <f t="shared" si="11"/>
        <v>0</v>
      </c>
      <c r="N28" s="52">
        <f t="shared" si="11"/>
        <v>0</v>
      </c>
      <c r="O28" s="52">
        <f>O26+O27</f>
        <v>0</v>
      </c>
      <c r="Q28" s="52"/>
      <c r="S28" s="52">
        <f>+O28-Q28</f>
        <v>0</v>
      </c>
    </row>
    <row r="29" spans="1:20" ht="15.75" customHeight="1" x14ac:dyDescent="0.25">
      <c r="A29" s="50"/>
      <c r="B29" s="198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4"/>
      <c r="N29" s="84"/>
      <c r="O29" s="84"/>
      <c r="Q29" s="84"/>
      <c r="S29" s="84"/>
    </row>
    <row r="30" spans="1:20" ht="15.75" customHeight="1" x14ac:dyDescent="0.25">
      <c r="A30" s="85"/>
      <c r="B30" s="198"/>
      <c r="C30" s="9" t="str">
        <f t="shared" ref="C30:N30" si="12">+C4</f>
        <v>ACTUAL</v>
      </c>
      <c r="D30" s="9" t="str">
        <f t="shared" si="12"/>
        <v>ACTUAL</v>
      </c>
      <c r="E30" s="9" t="str">
        <f t="shared" si="12"/>
        <v>ACTUAL</v>
      </c>
      <c r="F30" s="10" t="str">
        <f t="shared" si="12"/>
        <v>FORECAST</v>
      </c>
      <c r="G30" s="10" t="str">
        <f t="shared" si="12"/>
        <v xml:space="preserve">FORECAST </v>
      </c>
      <c r="H30" s="10" t="str">
        <f t="shared" si="12"/>
        <v xml:space="preserve">FORECAST </v>
      </c>
      <c r="I30" s="10" t="str">
        <f t="shared" si="12"/>
        <v xml:space="preserve">FORECAST </v>
      </c>
      <c r="J30" s="10" t="str">
        <f t="shared" si="12"/>
        <v xml:space="preserve">FORECAST </v>
      </c>
      <c r="K30" s="10" t="str">
        <f t="shared" si="12"/>
        <v xml:space="preserve">FORECAST </v>
      </c>
      <c r="L30" s="10" t="str">
        <f t="shared" si="12"/>
        <v xml:space="preserve">FORECAST </v>
      </c>
      <c r="M30" s="10" t="str">
        <f t="shared" si="12"/>
        <v xml:space="preserve">FORECAST </v>
      </c>
      <c r="N30" s="10" t="str">
        <f t="shared" si="12"/>
        <v xml:space="preserve">FORECAST </v>
      </c>
      <c r="O30" s="87"/>
      <c r="Q30" s="88" t="s">
        <v>1</v>
      </c>
      <c r="S30" s="87"/>
    </row>
    <row r="31" spans="1:20" ht="15.75" customHeight="1" x14ac:dyDescent="0.25">
      <c r="A31" s="85"/>
      <c r="B31" s="510" t="s">
        <v>33</v>
      </c>
      <c r="C31" s="13">
        <v>2026</v>
      </c>
      <c r="D31" s="13">
        <v>2026</v>
      </c>
      <c r="E31" s="13">
        <v>2026</v>
      </c>
      <c r="F31" s="13">
        <v>2026</v>
      </c>
      <c r="G31" s="13">
        <v>2026</v>
      </c>
      <c r="H31" s="13">
        <v>2026</v>
      </c>
      <c r="I31" s="13">
        <v>2026</v>
      </c>
      <c r="J31" s="13">
        <v>2026</v>
      </c>
      <c r="K31" s="13">
        <v>2026</v>
      </c>
      <c r="L31" s="13">
        <v>2026</v>
      </c>
      <c r="M31" s="13">
        <v>2026</v>
      </c>
      <c r="N31" s="89">
        <v>2026</v>
      </c>
      <c r="O31" s="90"/>
      <c r="Q31" s="91">
        <v>2026</v>
      </c>
    </row>
    <row r="32" spans="1:20" ht="15.75" customHeight="1" outlineLevel="2" x14ac:dyDescent="0.25">
      <c r="A32" s="68"/>
      <c r="B32" s="511"/>
      <c r="C32" s="176" t="s">
        <v>3</v>
      </c>
      <c r="D32" s="92" t="s">
        <v>4</v>
      </c>
      <c r="E32" s="92" t="s">
        <v>5</v>
      </c>
      <c r="F32" s="92" t="s">
        <v>6</v>
      </c>
      <c r="G32" s="92" t="s">
        <v>7</v>
      </c>
      <c r="H32" s="92" t="s">
        <v>8</v>
      </c>
      <c r="I32" s="92" t="s">
        <v>9</v>
      </c>
      <c r="J32" s="92" t="s">
        <v>10</v>
      </c>
      <c r="K32" s="92" t="s">
        <v>11</v>
      </c>
      <c r="L32" s="92" t="s">
        <v>12</v>
      </c>
      <c r="M32" s="92" t="s">
        <v>13</v>
      </c>
      <c r="N32" s="93" t="s">
        <v>14</v>
      </c>
      <c r="O32" s="94"/>
      <c r="Q32" s="88" t="s">
        <v>15</v>
      </c>
    </row>
    <row r="33" spans="1:20" ht="15.75" customHeight="1" outlineLevel="2" x14ac:dyDescent="0.25">
      <c r="A33" s="68"/>
      <c r="B33" s="199" t="s">
        <v>34</v>
      </c>
      <c r="C33" s="96">
        <f>+SUM(C34:C36)</f>
        <v>0</v>
      </c>
      <c r="D33" s="96">
        <f>+SUM(D34:D36)</f>
        <v>0</v>
      </c>
      <c r="E33" s="96">
        <f>+SUM(E34:E36)</f>
        <v>0</v>
      </c>
      <c r="F33" s="96">
        <f t="shared" ref="F33:N33" si="13">+F8</f>
        <v>0</v>
      </c>
      <c r="G33" s="96">
        <f t="shared" si="13"/>
        <v>0</v>
      </c>
      <c r="H33" s="96">
        <f t="shared" si="13"/>
        <v>0</v>
      </c>
      <c r="I33" s="96">
        <f t="shared" si="13"/>
        <v>0</v>
      </c>
      <c r="J33" s="96">
        <f t="shared" si="13"/>
        <v>0</v>
      </c>
      <c r="K33" s="96">
        <f t="shared" si="13"/>
        <v>0</v>
      </c>
      <c r="L33" s="96">
        <f t="shared" si="13"/>
        <v>0</v>
      </c>
      <c r="M33" s="96">
        <f t="shared" si="13"/>
        <v>0</v>
      </c>
      <c r="N33" s="96">
        <f t="shared" si="13"/>
        <v>0</v>
      </c>
      <c r="O33" s="97"/>
      <c r="Q33" s="98"/>
    </row>
    <row r="34" spans="1:20" ht="15.75" customHeight="1" outlineLevel="2" x14ac:dyDescent="0.25">
      <c r="A34" s="68"/>
      <c r="B34" s="200" t="s">
        <v>35</v>
      </c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97"/>
      <c r="Q34" s="101"/>
    </row>
    <row r="35" spans="1:20" ht="15.75" customHeight="1" outlineLevel="2" x14ac:dyDescent="0.25">
      <c r="A35" s="68"/>
      <c r="B35" s="200" t="s">
        <v>36</v>
      </c>
      <c r="C35" s="177"/>
      <c r="D35" s="102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97"/>
      <c r="Q35" s="103"/>
    </row>
    <row r="36" spans="1:20" ht="15.75" customHeight="1" outlineLevel="2" x14ac:dyDescent="0.25">
      <c r="A36" s="68"/>
      <c r="B36" s="201" t="s">
        <v>37</v>
      </c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5"/>
      <c r="N36" s="105"/>
      <c r="O36" s="97"/>
      <c r="Q36" s="101"/>
    </row>
    <row r="37" spans="1:20" ht="15.75" customHeight="1" outlineLevel="2" x14ac:dyDescent="0.25">
      <c r="A37" s="68"/>
      <c r="B37" s="202" t="s">
        <v>38</v>
      </c>
      <c r="C37" s="178">
        <f t="shared" ref="C37:N37" si="14">+SUM(C38:C41)</f>
        <v>0</v>
      </c>
      <c r="D37" s="107">
        <f t="shared" si="14"/>
        <v>0</v>
      </c>
      <c r="E37" s="107">
        <f t="shared" si="14"/>
        <v>0</v>
      </c>
      <c r="F37" s="107">
        <f t="shared" si="14"/>
        <v>0</v>
      </c>
      <c r="G37" s="107">
        <f t="shared" si="14"/>
        <v>0</v>
      </c>
      <c r="H37" s="107">
        <f t="shared" si="14"/>
        <v>0</v>
      </c>
      <c r="I37" s="107">
        <f t="shared" si="14"/>
        <v>0</v>
      </c>
      <c r="J37" s="107">
        <f t="shared" si="14"/>
        <v>0</v>
      </c>
      <c r="K37" s="107">
        <f t="shared" si="14"/>
        <v>0</v>
      </c>
      <c r="L37" s="107">
        <f t="shared" si="14"/>
        <v>0</v>
      </c>
      <c r="M37" s="107">
        <f t="shared" si="14"/>
        <v>0</v>
      </c>
      <c r="N37" s="108">
        <f t="shared" si="14"/>
        <v>0</v>
      </c>
      <c r="O37" s="97"/>
      <c r="Q37" s="98"/>
    </row>
    <row r="38" spans="1:20" ht="15.75" customHeight="1" outlineLevel="2" x14ac:dyDescent="0.25">
      <c r="A38" s="68"/>
      <c r="B38" s="203" t="s">
        <v>39</v>
      </c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110"/>
      <c r="Q38" s="111"/>
    </row>
    <row r="39" spans="1:20" ht="15.75" customHeight="1" outlineLevel="2" x14ac:dyDescent="0.25">
      <c r="A39" s="68"/>
      <c r="B39" s="203" t="s">
        <v>40</v>
      </c>
      <c r="C39" s="80"/>
      <c r="D39" s="110"/>
      <c r="E39" s="110"/>
      <c r="F39" s="80"/>
      <c r="G39" s="80"/>
      <c r="H39" s="80"/>
      <c r="I39" s="80"/>
      <c r="J39" s="80"/>
      <c r="K39" s="80"/>
      <c r="L39" s="80"/>
      <c r="M39" s="80"/>
      <c r="N39" s="80"/>
      <c r="O39" s="110"/>
      <c r="Q39" s="111"/>
    </row>
    <row r="40" spans="1:20" ht="15.75" customHeight="1" x14ac:dyDescent="0.25">
      <c r="A40" s="85"/>
      <c r="B40" s="203" t="s">
        <v>41</v>
      </c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110"/>
      <c r="Q40" s="111"/>
    </row>
    <row r="41" spans="1:20" ht="15.75" customHeight="1" x14ac:dyDescent="0.25">
      <c r="A41" s="50"/>
      <c r="B41" s="204" t="s">
        <v>42</v>
      </c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110"/>
      <c r="Q41" s="111"/>
    </row>
    <row r="42" spans="1:20" ht="15.75" customHeight="1" x14ac:dyDescent="0.25">
      <c r="A42" s="85"/>
      <c r="B42" s="205" t="s">
        <v>43</v>
      </c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Q42" s="114"/>
    </row>
    <row r="43" spans="1:20" ht="15.75" customHeight="1" x14ac:dyDescent="0.25">
      <c r="A43" s="85"/>
      <c r="B43" s="202" t="s">
        <v>44</v>
      </c>
      <c r="C43" s="179">
        <f t="shared" ref="C43:N43" si="15">+C37+C42</f>
        <v>0</v>
      </c>
      <c r="D43" s="117">
        <f t="shared" si="15"/>
        <v>0</v>
      </c>
      <c r="E43" s="117">
        <f t="shared" si="15"/>
        <v>0</v>
      </c>
      <c r="F43" s="117">
        <f t="shared" si="15"/>
        <v>0</v>
      </c>
      <c r="G43" s="117">
        <f t="shared" si="15"/>
        <v>0</v>
      </c>
      <c r="H43" s="117">
        <f t="shared" si="15"/>
        <v>0</v>
      </c>
      <c r="I43" s="117">
        <f t="shared" si="15"/>
        <v>0</v>
      </c>
      <c r="J43" s="117">
        <f t="shared" si="15"/>
        <v>0</v>
      </c>
      <c r="K43" s="117">
        <f t="shared" si="15"/>
        <v>0</v>
      </c>
      <c r="L43" s="117">
        <f t="shared" si="15"/>
        <v>0</v>
      </c>
      <c r="M43" s="117">
        <f t="shared" si="15"/>
        <v>0</v>
      </c>
      <c r="N43" s="118">
        <f t="shared" si="15"/>
        <v>0</v>
      </c>
      <c r="O43" s="97"/>
      <c r="Q43" s="119">
        <f>+Q37+Q42</f>
        <v>0</v>
      </c>
    </row>
    <row r="44" spans="1:20" s="127" customFormat="1" ht="15.75" customHeight="1" x14ac:dyDescent="0.25">
      <c r="A44" s="71"/>
      <c r="B44" s="206" t="s">
        <v>45</v>
      </c>
      <c r="C44" s="121"/>
      <c r="D44" s="122"/>
      <c r="E44" s="122"/>
      <c r="F44" s="122"/>
      <c r="G44" s="122"/>
      <c r="H44" s="122"/>
      <c r="I44" s="122"/>
      <c r="J44" s="122"/>
      <c r="K44" s="122"/>
      <c r="L44" s="122"/>
      <c r="M44" s="123"/>
      <c r="N44" s="123"/>
      <c r="O44" s="124"/>
      <c r="P44" s="125"/>
      <c r="Q44" s="126"/>
      <c r="R44" s="125"/>
      <c r="S44" s="5"/>
      <c r="T44" s="5"/>
    </row>
    <row r="45" spans="1:20" ht="15" customHeight="1" x14ac:dyDescent="0.25">
      <c r="B45" s="207" t="s">
        <v>46</v>
      </c>
      <c r="C45" s="180">
        <f t="shared" ref="C45:N45" si="16">C33+C43+C44</f>
        <v>0</v>
      </c>
      <c r="D45" s="107">
        <f t="shared" si="16"/>
        <v>0</v>
      </c>
      <c r="E45" s="107">
        <f t="shared" si="16"/>
        <v>0</v>
      </c>
      <c r="F45" s="107">
        <f t="shared" si="16"/>
        <v>0</v>
      </c>
      <c r="G45" s="107">
        <f t="shared" si="16"/>
        <v>0</v>
      </c>
      <c r="H45" s="107">
        <f t="shared" si="16"/>
        <v>0</v>
      </c>
      <c r="I45" s="107">
        <f t="shared" si="16"/>
        <v>0</v>
      </c>
      <c r="J45" s="107">
        <f t="shared" si="16"/>
        <v>0</v>
      </c>
      <c r="K45" s="107">
        <f t="shared" si="16"/>
        <v>0</v>
      </c>
      <c r="L45" s="107">
        <f t="shared" si="16"/>
        <v>0</v>
      </c>
      <c r="M45" s="107">
        <f t="shared" si="16"/>
        <v>0</v>
      </c>
      <c r="N45" s="108">
        <f t="shared" si="16"/>
        <v>0</v>
      </c>
      <c r="O45" s="97"/>
      <c r="Q45" s="130">
        <f>Q33+Q43+Q44</f>
        <v>0</v>
      </c>
    </row>
    <row r="46" spans="1:20" s="34" customFormat="1" ht="15" customHeight="1" x14ac:dyDescent="0.25">
      <c r="B46" s="208"/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132"/>
      <c r="Q46" s="97"/>
      <c r="R46" s="132"/>
    </row>
    <row r="47" spans="1:20" s="34" customFormat="1" ht="15" customHeight="1" x14ac:dyDescent="0.25">
      <c r="B47" s="208"/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132"/>
      <c r="Q47" s="97"/>
      <c r="R47" s="132"/>
    </row>
    <row r="48" spans="1:20" s="34" customFormat="1" ht="19.5" customHeight="1" x14ac:dyDescent="0.25">
      <c r="B48" s="209"/>
      <c r="C48" s="9" t="str">
        <f>+C4</f>
        <v>ACTUAL</v>
      </c>
      <c r="D48" s="9" t="str">
        <f t="shared" ref="D48:N48" si="17">+D4</f>
        <v>ACTUAL</v>
      </c>
      <c r="E48" s="9" t="str">
        <f t="shared" si="17"/>
        <v>ACTUAL</v>
      </c>
      <c r="F48" s="10" t="str">
        <f t="shared" si="17"/>
        <v>FORECAST</v>
      </c>
      <c r="G48" s="10" t="str">
        <f t="shared" si="17"/>
        <v xml:space="preserve">FORECAST </v>
      </c>
      <c r="H48" s="10" t="str">
        <f t="shared" si="17"/>
        <v xml:space="preserve">FORECAST </v>
      </c>
      <c r="I48" s="10" t="str">
        <f t="shared" si="17"/>
        <v xml:space="preserve">FORECAST </v>
      </c>
      <c r="J48" s="10" t="str">
        <f t="shared" si="17"/>
        <v xml:space="preserve">FORECAST </v>
      </c>
      <c r="K48" s="10" t="str">
        <f t="shared" si="17"/>
        <v xml:space="preserve">FORECAST </v>
      </c>
      <c r="L48" s="10" t="str">
        <f t="shared" si="17"/>
        <v xml:space="preserve">FORECAST </v>
      </c>
      <c r="M48" s="10" t="str">
        <f t="shared" si="17"/>
        <v xml:space="preserve">FORECAST </v>
      </c>
      <c r="N48" s="10" t="str">
        <f t="shared" si="17"/>
        <v xml:space="preserve">FORECAST </v>
      </c>
      <c r="P48" s="132"/>
      <c r="R48" s="132"/>
    </row>
    <row r="49" spans="1:15" ht="15.75" customHeight="1" x14ac:dyDescent="0.25">
      <c r="A49" s="85"/>
      <c r="B49" s="510" t="s">
        <v>55</v>
      </c>
      <c r="C49" s="13">
        <v>2026</v>
      </c>
      <c r="D49" s="13">
        <v>2026</v>
      </c>
      <c r="E49" s="13">
        <v>2026</v>
      </c>
      <c r="F49" s="13">
        <v>2026</v>
      </c>
      <c r="G49" s="13">
        <v>2026</v>
      </c>
      <c r="H49" s="13">
        <v>2026</v>
      </c>
      <c r="I49" s="13">
        <v>2026</v>
      </c>
      <c r="J49" s="13">
        <v>2026</v>
      </c>
      <c r="K49" s="13">
        <v>2026</v>
      </c>
      <c r="L49" s="13">
        <v>2026</v>
      </c>
      <c r="M49" s="13">
        <v>2026</v>
      </c>
      <c r="N49" s="89">
        <v>2026</v>
      </c>
      <c r="O49" s="90"/>
    </row>
    <row r="50" spans="1:15" ht="15.75" customHeight="1" x14ac:dyDescent="0.25">
      <c r="A50" s="68"/>
      <c r="B50" s="511"/>
      <c r="C50" s="176" t="s">
        <v>3</v>
      </c>
      <c r="D50" s="92" t="s">
        <v>4</v>
      </c>
      <c r="E50" s="92" t="s">
        <v>5</v>
      </c>
      <c r="F50" s="92" t="s">
        <v>6</v>
      </c>
      <c r="G50" s="92" t="s">
        <v>7</v>
      </c>
      <c r="H50" s="92" t="s">
        <v>8</v>
      </c>
      <c r="I50" s="92" t="s">
        <v>9</v>
      </c>
      <c r="J50" s="92" t="s">
        <v>10</v>
      </c>
      <c r="K50" s="92" t="s">
        <v>11</v>
      </c>
      <c r="L50" s="92" t="s">
        <v>12</v>
      </c>
      <c r="M50" s="92" t="s">
        <v>13</v>
      </c>
      <c r="N50" s="93" t="s">
        <v>14</v>
      </c>
      <c r="O50" s="94"/>
    </row>
    <row r="51" spans="1:15" ht="15" customHeight="1" x14ac:dyDescent="0.25">
      <c r="B51" s="210" t="s">
        <v>56</v>
      </c>
    </row>
    <row r="52" spans="1:15" ht="15" customHeight="1" x14ac:dyDescent="0.25">
      <c r="B52" s="185" t="s">
        <v>17</v>
      </c>
    </row>
    <row r="53" spans="1:15" ht="6.6" customHeight="1" x14ac:dyDescent="0.25">
      <c r="B53" s="210"/>
    </row>
    <row r="54" spans="1:15" ht="15" customHeight="1" x14ac:dyDescent="0.25">
      <c r="B54" s="210" t="s">
        <v>57</v>
      </c>
    </row>
    <row r="55" spans="1:15" ht="15" customHeight="1" x14ac:dyDescent="0.25">
      <c r="B55" s="185" t="s">
        <v>17</v>
      </c>
    </row>
    <row r="56" spans="1:15" s="132" customFormat="1" ht="6" customHeight="1" x14ac:dyDescent="0.25">
      <c r="B56" s="211"/>
      <c r="E56" s="133"/>
    </row>
    <row r="57" spans="1:15" s="132" customFormat="1" ht="13.5" customHeight="1" x14ac:dyDescent="0.25">
      <c r="B57" s="211" t="s">
        <v>58</v>
      </c>
      <c r="E57" s="133"/>
    </row>
    <row r="58" spans="1:15" s="132" customFormat="1" ht="6" customHeight="1" x14ac:dyDescent="0.25">
      <c r="B58" s="211"/>
      <c r="E58" s="133"/>
    </row>
    <row r="59" spans="1:15" ht="15" customHeight="1" x14ac:dyDescent="0.25">
      <c r="B59" s="212" t="s">
        <v>59</v>
      </c>
      <c r="C59" s="134"/>
      <c r="D59" s="134"/>
      <c r="E59" s="135"/>
    </row>
    <row r="60" spans="1:15" ht="15" customHeight="1" x14ac:dyDescent="0.25">
      <c r="B60" s="212"/>
      <c r="C60" s="136"/>
      <c r="D60" s="136"/>
      <c r="E60" s="135"/>
    </row>
    <row r="61" spans="1:15" ht="15" customHeight="1" x14ac:dyDescent="0.25">
      <c r="B61" s="512" t="s">
        <v>60</v>
      </c>
      <c r="C61" s="513"/>
      <c r="D61" s="513"/>
      <c r="E61" s="513"/>
      <c r="F61" s="513"/>
      <c r="G61" s="513"/>
      <c r="H61" s="513"/>
      <c r="I61" s="513"/>
      <c r="J61" s="513"/>
      <c r="K61" s="513"/>
      <c r="L61" s="513"/>
      <c r="M61" s="513"/>
      <c r="N61" s="514"/>
    </row>
    <row r="62" spans="1:15" ht="15" customHeight="1" x14ac:dyDescent="0.25">
      <c r="B62" s="210" t="s">
        <v>61</v>
      </c>
      <c r="C62" s="137"/>
      <c r="D62" s="137"/>
      <c r="E62" s="138"/>
    </row>
    <row r="63" spans="1:15" ht="15" customHeight="1" x14ac:dyDescent="0.25">
      <c r="B63" s="210"/>
      <c r="C63" s="137"/>
      <c r="D63" s="137"/>
      <c r="E63" s="138"/>
    </row>
    <row r="64" spans="1:15" ht="15" customHeight="1" x14ac:dyDescent="0.25">
      <c r="B64" s="210" t="s">
        <v>62</v>
      </c>
      <c r="C64" s="137"/>
      <c r="D64" s="137"/>
      <c r="E64" s="139"/>
    </row>
    <row r="65" spans="2:5" ht="15" customHeight="1" x14ac:dyDescent="0.25">
      <c r="B65" s="210"/>
      <c r="C65" s="137"/>
      <c r="D65" s="137"/>
      <c r="E65" s="139"/>
    </row>
    <row r="66" spans="2:5" ht="15" customHeight="1" x14ac:dyDescent="0.25">
      <c r="B66" s="210" t="s">
        <v>63</v>
      </c>
    </row>
    <row r="67" spans="2:5" ht="7.5" customHeight="1" x14ac:dyDescent="0.25">
      <c r="B67" s="210"/>
    </row>
    <row r="68" spans="2:5" ht="15" customHeight="1" x14ac:dyDescent="0.25">
      <c r="B68" s="200" t="s">
        <v>64</v>
      </c>
    </row>
  </sheetData>
  <sheetProtection selectLockedCells="1" selectUnlockedCells="1"/>
  <mergeCells count="4">
    <mergeCell ref="B5:B6"/>
    <mergeCell ref="B31:B32"/>
    <mergeCell ref="B49:B50"/>
    <mergeCell ref="B61:N61"/>
  </mergeCells>
  <printOptions horizontalCentered="1" verticalCentered="1" gridLines="1"/>
  <pageMargins left="0.7" right="0.7" top="0.75" bottom="0.75" header="0" footer="0"/>
  <pageSetup paperSize="9" scale="33" pageOrder="overThenDown" orientation="portrait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32FF1-8415-4DD7-86DC-B8E5F988D9C8}">
  <sheetPr>
    <tabColor theme="0" tint="-4.9989318521683403E-2"/>
    <outlinePr summaryBelow="0" summaryRight="0"/>
    <pageSetUpPr fitToPage="1"/>
  </sheetPr>
  <dimension ref="A2:U68"/>
  <sheetViews>
    <sheetView showGridLines="0" zoomScaleNormal="100" workbookViewId="0">
      <pane ySplit="6" topLeftCell="A7" activePane="bottomLeft" state="frozen"/>
      <selection pane="bottomLeft" activeCell="Q9" sqref="Q9"/>
    </sheetView>
  </sheetViews>
  <sheetFormatPr baseColWidth="10" defaultColWidth="14.42578125" defaultRowHeight="15" customHeight="1" outlineLevelRow="2" outlineLevelCol="1" x14ac:dyDescent="0.25"/>
  <cols>
    <col min="1" max="1" width="4.42578125" style="5" customWidth="1"/>
    <col min="2" max="2" width="36.42578125" style="5" bestFit="1" customWidth="1"/>
    <col min="3" max="3" width="10.28515625" style="5" customWidth="1"/>
    <col min="4" max="4" width="10.5703125" style="5" customWidth="1" outlineLevel="1"/>
    <col min="5" max="5" width="10.140625" style="5" customWidth="1" outlineLevel="1"/>
    <col min="6" max="12" width="10.7109375" style="5" customWidth="1" outlineLevel="1"/>
    <col min="13" max="13" width="9.28515625" style="5" customWidth="1" outlineLevel="1"/>
    <col min="14" max="14" width="10.28515625" style="5" customWidth="1" outlineLevel="1"/>
    <col min="15" max="15" width="12.7109375" style="5" customWidth="1"/>
    <col min="16" max="16" width="3.5703125" customWidth="1"/>
    <col min="17" max="17" width="12.7109375" style="5" customWidth="1"/>
    <col min="18" max="18" width="1" customWidth="1"/>
    <col min="19" max="19" width="12.7109375" style="5" customWidth="1"/>
    <col min="20" max="20" width="33.85546875" style="5" customWidth="1"/>
    <col min="21" max="16384" width="14.42578125" style="5"/>
  </cols>
  <sheetData>
    <row r="2" spans="1:21" ht="37.15" customHeight="1" x14ac:dyDescent="0.25">
      <c r="A2" s="1"/>
      <c r="B2" s="169" t="s">
        <v>47</v>
      </c>
      <c r="C2" s="170" t="s">
        <v>48</v>
      </c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213"/>
      <c r="Q2" s="214"/>
      <c r="R2" s="213"/>
      <c r="S2" s="214"/>
      <c r="T2" s="215"/>
    </row>
    <row r="3" spans="1:21" ht="26.25" customHeight="1" x14ac:dyDescent="0.25">
      <c r="A3" s="1"/>
      <c r="B3" s="181"/>
      <c r="C3" s="6"/>
      <c r="D3" s="6"/>
      <c r="E3" s="6"/>
      <c r="F3" s="6"/>
      <c r="G3" s="6"/>
      <c r="H3" s="6"/>
      <c r="I3" s="6"/>
      <c r="J3" s="6"/>
      <c r="K3" s="6"/>
      <c r="L3" s="6"/>
      <c r="M3" s="4"/>
      <c r="N3" s="4"/>
      <c r="O3" s="4"/>
      <c r="Q3" s="4"/>
      <c r="S3" s="4"/>
    </row>
    <row r="4" spans="1:21" ht="15.75" customHeight="1" x14ac:dyDescent="0.25">
      <c r="A4" s="7"/>
      <c r="B4" s="182"/>
      <c r="C4" s="9" t="s">
        <v>49</v>
      </c>
      <c r="D4" s="9" t="s">
        <v>49</v>
      </c>
      <c r="E4" s="9" t="s">
        <v>49</v>
      </c>
      <c r="F4" s="9" t="s">
        <v>49</v>
      </c>
      <c r="G4" s="9" t="s">
        <v>49</v>
      </c>
      <c r="H4" s="10" t="s">
        <v>51</v>
      </c>
      <c r="I4" s="10" t="s">
        <v>51</v>
      </c>
      <c r="J4" s="10" t="s">
        <v>51</v>
      </c>
      <c r="K4" s="10" t="s">
        <v>51</v>
      </c>
      <c r="L4" s="10" t="s">
        <v>51</v>
      </c>
      <c r="M4" s="10" t="s">
        <v>51</v>
      </c>
      <c r="N4" s="10" t="s">
        <v>51</v>
      </c>
      <c r="O4" s="11" t="s">
        <v>52</v>
      </c>
      <c r="Q4" s="11" t="s">
        <v>1</v>
      </c>
    </row>
    <row r="5" spans="1:21" ht="15.75" customHeight="1" x14ac:dyDescent="0.25">
      <c r="A5" s="12"/>
      <c r="B5" s="508" t="s">
        <v>2</v>
      </c>
      <c r="C5" s="13">
        <v>2026</v>
      </c>
      <c r="D5" s="13">
        <v>2026</v>
      </c>
      <c r="E5" s="13">
        <v>2026</v>
      </c>
      <c r="F5" s="13">
        <v>2026</v>
      </c>
      <c r="G5" s="13">
        <v>2026</v>
      </c>
      <c r="H5" s="13">
        <v>2026</v>
      </c>
      <c r="I5" s="13">
        <v>2026</v>
      </c>
      <c r="J5" s="13">
        <v>2026</v>
      </c>
      <c r="K5" s="13">
        <v>2026</v>
      </c>
      <c r="L5" s="13">
        <v>2026</v>
      </c>
      <c r="M5" s="13">
        <v>2026</v>
      </c>
      <c r="N5" s="13">
        <v>2026</v>
      </c>
      <c r="O5" s="14">
        <v>2026</v>
      </c>
      <c r="Q5" s="9">
        <v>2026</v>
      </c>
    </row>
    <row r="6" spans="1:21" ht="12.75" customHeight="1" x14ac:dyDescent="0.3">
      <c r="A6" s="15"/>
      <c r="B6" s="509"/>
      <c r="C6" s="16" t="s">
        <v>3</v>
      </c>
      <c r="D6" s="17" t="s">
        <v>4</v>
      </c>
      <c r="E6" s="17" t="s">
        <v>5</v>
      </c>
      <c r="F6" s="17" t="s">
        <v>6</v>
      </c>
      <c r="G6" s="17" t="s">
        <v>7</v>
      </c>
      <c r="H6" s="17" t="s">
        <v>8</v>
      </c>
      <c r="I6" s="17" t="s">
        <v>9</v>
      </c>
      <c r="J6" s="17" t="s">
        <v>10</v>
      </c>
      <c r="K6" s="17" t="s">
        <v>11</v>
      </c>
      <c r="L6" s="17" t="s">
        <v>12</v>
      </c>
      <c r="M6" s="17" t="s">
        <v>13</v>
      </c>
      <c r="N6" s="17" t="s">
        <v>14</v>
      </c>
      <c r="O6" s="10" t="s">
        <v>15</v>
      </c>
      <c r="Q6" s="11" t="s">
        <v>15</v>
      </c>
      <c r="S6" s="11" t="s">
        <v>53</v>
      </c>
      <c r="T6" s="10" t="s">
        <v>54</v>
      </c>
    </row>
    <row r="7" spans="1:21" ht="9.6" customHeight="1" x14ac:dyDescent="0.25">
      <c r="A7" s="18"/>
      <c r="B7" s="183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Q7" s="20"/>
      <c r="S7" s="20"/>
      <c r="T7" s="21"/>
    </row>
    <row r="8" spans="1:21" ht="15.75" customHeight="1" x14ac:dyDescent="0.25">
      <c r="A8" s="18"/>
      <c r="B8" s="184" t="s">
        <v>16</v>
      </c>
      <c r="C8" s="23">
        <v>31835</v>
      </c>
      <c r="D8" s="23">
        <v>23686</v>
      </c>
      <c r="E8" s="23">
        <v>26739</v>
      </c>
      <c r="F8" s="23">
        <v>27986</v>
      </c>
      <c r="G8" s="23">
        <v>28427.78</v>
      </c>
      <c r="H8" s="23">
        <v>39214</v>
      </c>
      <c r="I8" s="23">
        <v>41175</v>
      </c>
      <c r="J8" s="23">
        <v>43233</v>
      </c>
      <c r="K8" s="23">
        <v>45395</v>
      </c>
      <c r="L8" s="23">
        <v>47665</v>
      </c>
      <c r="M8" s="23">
        <v>50048</v>
      </c>
      <c r="N8" s="23">
        <v>52550</v>
      </c>
      <c r="O8" s="23">
        <f>+SUM(C8:N8)</f>
        <v>457953.78</v>
      </c>
      <c r="P8" s="24"/>
      <c r="Q8" s="23">
        <v>489055</v>
      </c>
      <c r="R8" s="24"/>
      <c r="S8" s="25">
        <f>+O8-Q8</f>
        <v>-31101.219999999972</v>
      </c>
      <c r="T8" s="26"/>
      <c r="U8" s="27"/>
    </row>
    <row r="9" spans="1:21" ht="15.75" customHeight="1" x14ac:dyDescent="0.25">
      <c r="A9" s="28"/>
      <c r="B9" s="185" t="s">
        <v>17</v>
      </c>
      <c r="C9" s="30" t="str">
        <f>IFERROR((C8/B8)-1,"na")</f>
        <v>na</v>
      </c>
      <c r="D9" s="30">
        <f>IFERROR((D8/C8)-1,"na")</f>
        <v>-0.25597612690435056</v>
      </c>
      <c r="E9" s="30">
        <f>IFERROR((E8/D8)-1,"na")</f>
        <v>0.12889470573334449</v>
      </c>
      <c r="F9" s="30">
        <f t="shared" ref="F9:N9" si="0">IFERROR((F8/E8)-1,"na")</f>
        <v>4.6635999850405785E-2</v>
      </c>
      <c r="G9" s="30">
        <f t="shared" si="0"/>
        <v>1.5785750017865974E-2</v>
      </c>
      <c r="H9" s="30">
        <f t="shared" si="0"/>
        <v>0.37942533676565682</v>
      </c>
      <c r="I9" s="30">
        <f t="shared" si="0"/>
        <v>5.0007650328964148E-2</v>
      </c>
      <c r="J9" s="30">
        <f t="shared" si="0"/>
        <v>4.9981785063752282E-2</v>
      </c>
      <c r="K9" s="30">
        <f t="shared" si="0"/>
        <v>5.0008095667661179E-2</v>
      </c>
      <c r="L9" s="30">
        <f t="shared" si="0"/>
        <v>5.0005507214450962E-2</v>
      </c>
      <c r="M9" s="30">
        <f t="shared" si="0"/>
        <v>4.9994755061365748E-2</v>
      </c>
      <c r="N9" s="30">
        <f t="shared" si="0"/>
        <v>4.9992007672634342E-2</v>
      </c>
      <c r="O9" s="31"/>
      <c r="P9" s="24"/>
      <c r="Q9" s="31"/>
      <c r="R9" s="24"/>
      <c r="S9" s="32"/>
      <c r="T9" s="33"/>
      <c r="U9" s="34"/>
    </row>
    <row r="10" spans="1:21" ht="15.75" customHeight="1" x14ac:dyDescent="0.25">
      <c r="A10" s="35"/>
      <c r="B10" s="186" t="s">
        <v>18</v>
      </c>
      <c r="C10" s="37">
        <v>-17915</v>
      </c>
      <c r="D10" s="37">
        <v>-12828</v>
      </c>
      <c r="E10" s="37">
        <v>-16344</v>
      </c>
      <c r="F10" s="37">
        <v>-16449</v>
      </c>
      <c r="G10" s="37">
        <v>-16019</v>
      </c>
      <c r="H10" s="37">
        <v>-23080</v>
      </c>
      <c r="I10" s="37">
        <v>-24234</v>
      </c>
      <c r="J10" s="37">
        <v>-25445</v>
      </c>
      <c r="K10" s="37">
        <v>-26718</v>
      </c>
      <c r="L10" s="37">
        <v>-28054</v>
      </c>
      <c r="M10" s="37">
        <v>-29456</v>
      </c>
      <c r="N10" s="37">
        <v>-30929</v>
      </c>
      <c r="O10" s="37">
        <f>+SUM(C10:N10)</f>
        <v>-267471</v>
      </c>
      <c r="P10" s="38"/>
      <c r="Q10" s="37">
        <v>-277206</v>
      </c>
      <c r="R10" s="24"/>
      <c r="S10" s="37">
        <f>+O10-Q10</f>
        <v>9735</v>
      </c>
      <c r="T10" s="34"/>
      <c r="U10" s="34"/>
    </row>
    <row r="11" spans="1:21" ht="15.75" customHeight="1" x14ac:dyDescent="0.25">
      <c r="A11" s="35"/>
      <c r="B11" s="187" t="s">
        <v>19</v>
      </c>
      <c r="C11" s="40">
        <f>C8+C10</f>
        <v>13920</v>
      </c>
      <c r="D11" s="40">
        <f>D8+D10</f>
        <v>10858</v>
      </c>
      <c r="E11" s="40">
        <f t="shared" ref="E11:O11" si="1">E8+E10</f>
        <v>10395</v>
      </c>
      <c r="F11" s="40">
        <f t="shared" si="1"/>
        <v>11537</v>
      </c>
      <c r="G11" s="40">
        <f t="shared" si="1"/>
        <v>12408.779999999999</v>
      </c>
      <c r="H11" s="40">
        <f t="shared" si="1"/>
        <v>16134</v>
      </c>
      <c r="I11" s="40">
        <f t="shared" si="1"/>
        <v>16941</v>
      </c>
      <c r="J11" s="40">
        <f t="shared" si="1"/>
        <v>17788</v>
      </c>
      <c r="K11" s="40">
        <f t="shared" si="1"/>
        <v>18677</v>
      </c>
      <c r="L11" s="40">
        <f t="shared" si="1"/>
        <v>19611</v>
      </c>
      <c r="M11" s="40">
        <f t="shared" si="1"/>
        <v>20592</v>
      </c>
      <c r="N11" s="40">
        <f t="shared" si="1"/>
        <v>21621</v>
      </c>
      <c r="O11" s="40">
        <f t="shared" si="1"/>
        <v>190482.78000000003</v>
      </c>
      <c r="P11" s="24"/>
      <c r="Q11" s="40">
        <f>Q8+Q10</f>
        <v>211849</v>
      </c>
      <c r="R11" s="24"/>
      <c r="S11" s="40">
        <f>+O11-Q11</f>
        <v>-21366.219999999972</v>
      </c>
    </row>
    <row r="12" spans="1:21" ht="15.75" customHeight="1" x14ac:dyDescent="0.25">
      <c r="A12" s="28"/>
      <c r="B12" s="188" t="s">
        <v>20</v>
      </c>
      <c r="C12" s="172">
        <f t="shared" ref="C12:O12" si="2">IFERROR(C11/C8,"na")</f>
        <v>0.43725459400031413</v>
      </c>
      <c r="D12" s="42">
        <f t="shared" si="2"/>
        <v>0.45841425314531792</v>
      </c>
      <c r="E12" s="42">
        <f t="shared" si="2"/>
        <v>0.38875799394143384</v>
      </c>
      <c r="F12" s="42">
        <f t="shared" si="2"/>
        <v>0.41224183520331592</v>
      </c>
      <c r="G12" s="42">
        <f t="shared" si="2"/>
        <v>0.43650190060567512</v>
      </c>
      <c r="H12" s="42">
        <f t="shared" si="2"/>
        <v>0.41143469169174274</v>
      </c>
      <c r="I12" s="42">
        <f t="shared" si="2"/>
        <v>0.41143897996357015</v>
      </c>
      <c r="J12" s="42">
        <f t="shared" si="2"/>
        <v>0.41144496102514283</v>
      </c>
      <c r="K12" s="42">
        <f t="shared" si="2"/>
        <v>0.41143297720013217</v>
      </c>
      <c r="L12" s="42">
        <f t="shared" si="2"/>
        <v>0.4114339662225952</v>
      </c>
      <c r="M12" s="42">
        <f t="shared" si="2"/>
        <v>0.41144501278772377</v>
      </c>
      <c r="N12" s="42">
        <f t="shared" si="2"/>
        <v>0.41143672692673644</v>
      </c>
      <c r="O12" s="42">
        <f t="shared" si="2"/>
        <v>0.41594324213242656</v>
      </c>
      <c r="P12" s="24"/>
      <c r="Q12" s="42">
        <f>IFERROR(Q11/Q8,"na")</f>
        <v>0.4331803171422437</v>
      </c>
      <c r="R12" s="24"/>
      <c r="S12" s="42"/>
    </row>
    <row r="13" spans="1:21" ht="15.75" customHeight="1" x14ac:dyDescent="0.25">
      <c r="A13" s="18"/>
      <c r="B13" s="189" t="s">
        <v>21</v>
      </c>
      <c r="C13" s="44">
        <v>-10451</v>
      </c>
      <c r="D13" s="44">
        <v>-6685</v>
      </c>
      <c r="E13" s="44">
        <v>-13586</v>
      </c>
      <c r="F13" s="44">
        <v>-15528</v>
      </c>
      <c r="G13" s="44">
        <v>-14949</v>
      </c>
      <c r="H13" s="44">
        <v>-15167</v>
      </c>
      <c r="I13" s="44">
        <v>-19833</v>
      </c>
      <c r="J13" s="44">
        <v>-19833</v>
      </c>
      <c r="K13" s="44">
        <v>-19833</v>
      </c>
      <c r="L13" s="44">
        <v>-19833</v>
      </c>
      <c r="M13" s="44">
        <v>-19833</v>
      </c>
      <c r="N13" s="44">
        <v>-19833</v>
      </c>
      <c r="O13" s="44">
        <f>+SUM(C13:N13)</f>
        <v>-195364</v>
      </c>
      <c r="P13" s="24"/>
      <c r="Q13" s="44">
        <v>-145000</v>
      </c>
      <c r="R13" s="24"/>
      <c r="S13" s="45">
        <f>+O13-Q13</f>
        <v>-50364</v>
      </c>
      <c r="T13" s="46"/>
    </row>
    <row r="14" spans="1:21" ht="15.75" customHeight="1" x14ac:dyDescent="0.25">
      <c r="A14" s="47"/>
      <c r="B14" s="190" t="s">
        <v>22</v>
      </c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>
        <f>+SUM(C14:N14)</f>
        <v>0</v>
      </c>
      <c r="P14" s="24"/>
      <c r="Q14" s="49"/>
      <c r="R14" s="24"/>
      <c r="S14" s="49"/>
    </row>
    <row r="15" spans="1:21" ht="15.75" customHeight="1" x14ac:dyDescent="0.25">
      <c r="A15" s="50"/>
      <c r="B15" s="191" t="s">
        <v>23</v>
      </c>
      <c r="C15" s="52">
        <f t="shared" ref="C15:O15" si="3">C8+C10+C13</f>
        <v>3469</v>
      </c>
      <c r="D15" s="52">
        <f t="shared" si="3"/>
        <v>4173</v>
      </c>
      <c r="E15" s="52">
        <f t="shared" si="3"/>
        <v>-3191</v>
      </c>
      <c r="F15" s="52">
        <f t="shared" si="3"/>
        <v>-3991</v>
      </c>
      <c r="G15" s="52">
        <f t="shared" si="3"/>
        <v>-2540.2200000000012</v>
      </c>
      <c r="H15" s="52">
        <f t="shared" si="3"/>
        <v>967</v>
      </c>
      <c r="I15" s="52">
        <f t="shared" si="3"/>
        <v>-2892</v>
      </c>
      <c r="J15" s="52">
        <f t="shared" si="3"/>
        <v>-2045</v>
      </c>
      <c r="K15" s="52">
        <f t="shared" si="3"/>
        <v>-1156</v>
      </c>
      <c r="L15" s="52">
        <f t="shared" si="3"/>
        <v>-222</v>
      </c>
      <c r="M15" s="52">
        <f t="shared" si="3"/>
        <v>759</v>
      </c>
      <c r="N15" s="52">
        <f t="shared" si="3"/>
        <v>1788</v>
      </c>
      <c r="O15" s="52">
        <f t="shared" si="3"/>
        <v>-4881.2199999999721</v>
      </c>
      <c r="P15" s="24"/>
      <c r="Q15" s="52">
        <f>Q8+Q10+Q13</f>
        <v>66849</v>
      </c>
      <c r="R15" s="24"/>
      <c r="S15" s="25">
        <f>+O15-Q15</f>
        <v>-71730.219999999972</v>
      </c>
    </row>
    <row r="16" spans="1:21" ht="15.75" customHeight="1" x14ac:dyDescent="0.25">
      <c r="A16" s="50"/>
      <c r="B16" s="188" t="s">
        <v>20</v>
      </c>
      <c r="C16" s="172">
        <f t="shared" ref="C16:N16" si="4">IFERROR(C15/C8,"na")</f>
        <v>0.10896811685252081</v>
      </c>
      <c r="D16" s="42">
        <f t="shared" si="4"/>
        <v>0.17618002195389681</v>
      </c>
      <c r="E16" s="42">
        <f t="shared" si="4"/>
        <v>-0.11933879352257003</v>
      </c>
      <c r="F16" s="42">
        <f t="shared" si="4"/>
        <v>-0.1426070177946116</v>
      </c>
      <c r="G16" s="42">
        <f t="shared" si="4"/>
        <v>-8.9356959987730356E-2</v>
      </c>
      <c r="H16" s="42">
        <f t="shared" si="4"/>
        <v>2.4659560361095526E-2</v>
      </c>
      <c r="I16" s="42">
        <f t="shared" si="4"/>
        <v>-7.0236794171220404E-2</v>
      </c>
      <c r="J16" s="42">
        <f t="shared" si="4"/>
        <v>-4.7301829620891446E-2</v>
      </c>
      <c r="K16" s="42">
        <f t="shared" si="4"/>
        <v>-2.5465359621103644E-2</v>
      </c>
      <c r="L16" s="42">
        <f t="shared" si="4"/>
        <v>-4.6575055071855663E-3</v>
      </c>
      <c r="M16" s="42">
        <f t="shared" si="4"/>
        <v>1.5165441176470588E-2</v>
      </c>
      <c r="N16" s="42">
        <f t="shared" si="4"/>
        <v>3.4024738344433869E-2</v>
      </c>
      <c r="O16" s="42">
        <f>IFERROR(O15/$O$8,"na")</f>
        <v>-1.0658761240053466E-2</v>
      </c>
      <c r="P16" s="24"/>
      <c r="Q16" s="42">
        <f>IFERROR(Q15/Q8,"na")</f>
        <v>0.136690147324943</v>
      </c>
      <c r="R16" s="24"/>
      <c r="S16" s="42"/>
    </row>
    <row r="17" spans="1:20" ht="15.75" customHeight="1" x14ac:dyDescent="0.25">
      <c r="A17" s="50"/>
      <c r="B17" s="192" t="s">
        <v>24</v>
      </c>
      <c r="C17" s="54">
        <f>+C19+C20</f>
        <v>-29038</v>
      </c>
      <c r="D17" s="54">
        <f>+D19+D20</f>
        <v>-23332</v>
      </c>
      <c r="E17" s="54">
        <f>+E19+E20</f>
        <v>-24265</v>
      </c>
      <c r="F17" s="54">
        <f>+F19+F20</f>
        <v>-22211</v>
      </c>
      <c r="G17" s="54">
        <f>+G19+G20</f>
        <v>-21715</v>
      </c>
      <c r="H17" s="54">
        <f t="shared" ref="H17:N17" si="5">+H19+H20</f>
        <v>-32996</v>
      </c>
      <c r="I17" s="54">
        <f t="shared" si="5"/>
        <v>-32559</v>
      </c>
      <c r="J17" s="54">
        <f t="shared" si="5"/>
        <v>-33636</v>
      </c>
      <c r="K17" s="54">
        <f t="shared" si="5"/>
        <v>-32687</v>
      </c>
      <c r="L17" s="54">
        <f t="shared" si="5"/>
        <v>-32756</v>
      </c>
      <c r="M17" s="54">
        <f t="shared" si="5"/>
        <v>-32829</v>
      </c>
      <c r="N17" s="54">
        <f t="shared" si="5"/>
        <v>-32905</v>
      </c>
      <c r="O17" s="54">
        <f>+O19+O20</f>
        <v>-350929</v>
      </c>
      <c r="P17" s="24"/>
      <c r="Q17" s="55">
        <f>+Q19+Q20</f>
        <v>-410619</v>
      </c>
      <c r="R17" s="24"/>
      <c r="S17" s="56">
        <f>+O17-Q17</f>
        <v>59690</v>
      </c>
    </row>
    <row r="18" spans="1:20" ht="15.75" customHeight="1" x14ac:dyDescent="0.25">
      <c r="A18" s="57"/>
      <c r="B18" s="193" t="s">
        <v>20</v>
      </c>
      <c r="C18" s="173">
        <f t="shared" ref="C18:N18" si="6">IFERROR(C17/C8,"na")</f>
        <v>-0.91214072561645987</v>
      </c>
      <c r="D18" s="59">
        <f t="shared" si="6"/>
        <v>-0.98505446255171836</v>
      </c>
      <c r="E18" s="59">
        <f t="shared" si="6"/>
        <v>-0.90747597142750291</v>
      </c>
      <c r="F18" s="59">
        <f t="shared" si="6"/>
        <v>-0.79364682341170589</v>
      </c>
      <c r="G18" s="59">
        <f t="shared" si="6"/>
        <v>-0.76386548650650876</v>
      </c>
      <c r="H18" s="59">
        <f t="shared" si="6"/>
        <v>-0.84143418166981176</v>
      </c>
      <c r="I18" s="59">
        <f t="shared" si="6"/>
        <v>-0.79074681238615663</v>
      </c>
      <c r="J18" s="59">
        <f t="shared" si="6"/>
        <v>-0.77801679272777735</v>
      </c>
      <c r="K18" s="59">
        <f t="shared" si="6"/>
        <v>-0.72005727503028971</v>
      </c>
      <c r="L18" s="59">
        <f t="shared" si="6"/>
        <v>-0.68721283960977653</v>
      </c>
      <c r="M18" s="59">
        <f t="shared" si="6"/>
        <v>-0.65595028772378516</v>
      </c>
      <c r="N18" s="59">
        <f t="shared" si="6"/>
        <v>-0.62616555661274975</v>
      </c>
      <c r="O18" s="59">
        <f>IFERROR(O17/$O$8,"na")</f>
        <v>-0.7662978565216777</v>
      </c>
      <c r="P18" s="24"/>
      <c r="Q18" s="59">
        <f>IFERROR(Q17/$O$8,"na")</f>
        <v>-0.89663852103153285</v>
      </c>
      <c r="R18" s="24"/>
      <c r="S18" s="60"/>
    </row>
    <row r="19" spans="1:20" ht="15.75" customHeight="1" x14ac:dyDescent="0.25">
      <c r="A19" s="57"/>
      <c r="B19" s="194" t="s">
        <v>25</v>
      </c>
      <c r="C19" s="486">
        <v>-12995</v>
      </c>
      <c r="D19" s="486">
        <v>-10699</v>
      </c>
      <c r="E19" s="486">
        <v>-8156</v>
      </c>
      <c r="F19" s="486">
        <v>-6268</v>
      </c>
      <c r="G19" s="62">
        <v>-5780</v>
      </c>
      <c r="H19" s="486">
        <v>-14050</v>
      </c>
      <c r="I19" s="486">
        <v>-14050</v>
      </c>
      <c r="J19" s="486">
        <v>-14050</v>
      </c>
      <c r="K19" s="486">
        <v>-14050</v>
      </c>
      <c r="L19" s="486">
        <v>-14050</v>
      </c>
      <c r="M19" s="486">
        <v>-14050</v>
      </c>
      <c r="N19" s="486">
        <v>-14050</v>
      </c>
      <c r="O19" s="63">
        <f>+SUM(C19:N19)</f>
        <v>-142248</v>
      </c>
      <c r="P19" s="24"/>
      <c r="Q19" s="62">
        <v>-289850</v>
      </c>
      <c r="R19" s="24"/>
      <c r="S19" s="62">
        <f>+O19-Q19</f>
        <v>147602</v>
      </c>
    </row>
    <row r="20" spans="1:20" ht="15.75" customHeight="1" x14ac:dyDescent="0.25">
      <c r="A20" s="64"/>
      <c r="B20" s="194" t="s">
        <v>26</v>
      </c>
      <c r="C20" s="486">
        <v>-16043</v>
      </c>
      <c r="D20" s="486">
        <v>-12633</v>
      </c>
      <c r="E20" s="486">
        <v>-16109</v>
      </c>
      <c r="F20" s="486">
        <v>-15943</v>
      </c>
      <c r="G20" s="486">
        <v>-15935</v>
      </c>
      <c r="H20" s="486">
        <v>-18946</v>
      </c>
      <c r="I20" s="486">
        <v>-18509</v>
      </c>
      <c r="J20" s="486">
        <v>-19586</v>
      </c>
      <c r="K20" s="486">
        <v>-18637</v>
      </c>
      <c r="L20" s="486">
        <v>-18706</v>
      </c>
      <c r="M20" s="486">
        <v>-18779</v>
      </c>
      <c r="N20" s="486">
        <v>-18855</v>
      </c>
      <c r="O20" s="63">
        <f>+SUM(C20:N20)</f>
        <v>-208681</v>
      </c>
      <c r="P20" s="24"/>
      <c r="Q20" s="486">
        <v>-120769</v>
      </c>
      <c r="R20" s="24"/>
      <c r="S20" s="62">
        <f>+O20-Q20</f>
        <v>-87912</v>
      </c>
    </row>
    <row r="21" spans="1:20" ht="15.75" customHeight="1" x14ac:dyDescent="0.25">
      <c r="A21" s="50"/>
      <c r="B21" s="191" t="s">
        <v>27</v>
      </c>
      <c r="C21" s="52">
        <f t="shared" ref="C21:Q21" si="7">C15+C17</f>
        <v>-25569</v>
      </c>
      <c r="D21" s="52">
        <f t="shared" si="7"/>
        <v>-19159</v>
      </c>
      <c r="E21" s="52">
        <f t="shared" si="7"/>
        <v>-27456</v>
      </c>
      <c r="F21" s="52">
        <f t="shared" si="7"/>
        <v>-26202</v>
      </c>
      <c r="G21" s="52">
        <f t="shared" si="7"/>
        <v>-24255.22</v>
      </c>
      <c r="H21" s="52">
        <f t="shared" si="7"/>
        <v>-32029</v>
      </c>
      <c r="I21" s="52">
        <f t="shared" si="7"/>
        <v>-35451</v>
      </c>
      <c r="J21" s="52">
        <f t="shared" si="7"/>
        <v>-35681</v>
      </c>
      <c r="K21" s="52">
        <f t="shared" si="7"/>
        <v>-33843</v>
      </c>
      <c r="L21" s="52">
        <f t="shared" si="7"/>
        <v>-32978</v>
      </c>
      <c r="M21" s="52">
        <f t="shared" si="7"/>
        <v>-32070</v>
      </c>
      <c r="N21" s="52">
        <f t="shared" si="7"/>
        <v>-31117</v>
      </c>
      <c r="O21" s="52">
        <f t="shared" si="7"/>
        <v>-355810.22</v>
      </c>
      <c r="P21" s="24"/>
      <c r="Q21" s="52">
        <f t="shared" si="7"/>
        <v>-343770</v>
      </c>
      <c r="R21" s="24"/>
      <c r="S21" s="25">
        <f>+O21-Q21</f>
        <v>-12040.219999999972</v>
      </c>
      <c r="T21" s="66"/>
    </row>
    <row r="22" spans="1:20" ht="15.75" customHeight="1" x14ac:dyDescent="0.25">
      <c r="A22" s="50"/>
      <c r="B22" s="193" t="s">
        <v>20</v>
      </c>
      <c r="C22" s="174">
        <f t="shared" ref="C22:O22" si="8">IFERROR(C21/C8,"na")</f>
        <v>-0.80317260876393903</v>
      </c>
      <c r="D22" s="67">
        <f t="shared" si="8"/>
        <v>-0.80887444059782154</v>
      </c>
      <c r="E22" s="67">
        <f t="shared" si="8"/>
        <v>-1.026814764950073</v>
      </c>
      <c r="F22" s="67">
        <f t="shared" si="8"/>
        <v>-0.93625384120631749</v>
      </c>
      <c r="G22" s="67">
        <f t="shared" si="8"/>
        <v>-0.85322244649423917</v>
      </c>
      <c r="H22" s="67">
        <f t="shared" si="8"/>
        <v>-0.81677462130871625</v>
      </c>
      <c r="I22" s="67">
        <f t="shared" si="8"/>
        <v>-0.86098360655737705</v>
      </c>
      <c r="J22" s="67">
        <f t="shared" si="8"/>
        <v>-0.82531862234866882</v>
      </c>
      <c r="K22" s="67">
        <f t="shared" si="8"/>
        <v>-0.74552263465139335</v>
      </c>
      <c r="L22" s="67">
        <f t="shared" si="8"/>
        <v>-0.6918703451169621</v>
      </c>
      <c r="M22" s="67">
        <f t="shared" si="8"/>
        <v>-0.6407848465473146</v>
      </c>
      <c r="N22" s="67">
        <f t="shared" si="8"/>
        <v>-0.59214081826831588</v>
      </c>
      <c r="O22" s="67">
        <f t="shared" si="8"/>
        <v>-0.77695661776173119</v>
      </c>
      <c r="Q22" s="67">
        <f>IFERROR(Q21/Q8,"na")</f>
        <v>-0.70292707364202389</v>
      </c>
      <c r="S22" s="58"/>
    </row>
    <row r="23" spans="1:20" ht="15.75" customHeight="1" x14ac:dyDescent="0.25">
      <c r="A23" s="68"/>
      <c r="B23" s="195" t="s">
        <v>28</v>
      </c>
      <c r="C23" s="70"/>
      <c r="D23" s="70"/>
      <c r="E23" s="70"/>
      <c r="F23" s="70"/>
      <c r="G23" s="70">
        <v>-3880</v>
      </c>
      <c r="H23" s="70">
        <v>-3880</v>
      </c>
      <c r="I23" s="70">
        <v>-3880</v>
      </c>
      <c r="J23" s="70"/>
      <c r="K23" s="70"/>
      <c r="L23" s="70"/>
      <c r="M23" s="70"/>
      <c r="N23" s="70"/>
      <c r="O23" s="70"/>
      <c r="Q23" s="70"/>
      <c r="S23" s="70">
        <f>+O23-Q23</f>
        <v>0</v>
      </c>
    </row>
    <row r="24" spans="1:20" ht="15.75" customHeight="1" x14ac:dyDescent="0.25">
      <c r="A24" s="71"/>
      <c r="B24" s="196" t="s">
        <v>29</v>
      </c>
      <c r="C24" s="76">
        <f t="shared" ref="C24:Q24" si="9">C21+C23</f>
        <v>-25569</v>
      </c>
      <c r="D24" s="73">
        <f t="shared" si="9"/>
        <v>-19159</v>
      </c>
      <c r="E24" s="73">
        <f t="shared" si="9"/>
        <v>-27456</v>
      </c>
      <c r="F24" s="73">
        <f t="shared" si="9"/>
        <v>-26202</v>
      </c>
      <c r="G24" s="73">
        <f>G21+G23</f>
        <v>-28135.22</v>
      </c>
      <c r="H24" s="73">
        <f t="shared" si="9"/>
        <v>-35909</v>
      </c>
      <c r="I24" s="73">
        <f>I21+I23</f>
        <v>-39331</v>
      </c>
      <c r="J24" s="73">
        <f t="shared" si="9"/>
        <v>-35681</v>
      </c>
      <c r="K24" s="73">
        <f t="shared" si="9"/>
        <v>-33843</v>
      </c>
      <c r="L24" s="73">
        <f t="shared" si="9"/>
        <v>-32978</v>
      </c>
      <c r="M24" s="73">
        <f t="shared" si="9"/>
        <v>-32070</v>
      </c>
      <c r="N24" s="73">
        <f t="shared" si="9"/>
        <v>-31117</v>
      </c>
      <c r="O24" s="73">
        <f t="shared" si="9"/>
        <v>-355810.22</v>
      </c>
      <c r="Q24" s="73">
        <f t="shared" si="9"/>
        <v>-343770</v>
      </c>
      <c r="S24" s="73">
        <f>+O24-Q24</f>
        <v>-12040.219999999972</v>
      </c>
    </row>
    <row r="25" spans="1:20" ht="15.75" customHeight="1" x14ac:dyDescent="0.25">
      <c r="A25" s="68"/>
      <c r="B25" s="197" t="s">
        <v>20</v>
      </c>
      <c r="C25" s="175">
        <f t="shared" ref="C25:O25" si="10">IFERROR(C24/C8,"na")</f>
        <v>-0.80317260876393903</v>
      </c>
      <c r="D25" s="75">
        <f t="shared" si="10"/>
        <v>-0.80887444059782154</v>
      </c>
      <c r="E25" s="75">
        <f t="shared" si="10"/>
        <v>-1.026814764950073</v>
      </c>
      <c r="F25" s="75">
        <f t="shared" si="10"/>
        <v>-0.93625384120631749</v>
      </c>
      <c r="G25" s="75">
        <f t="shared" si="10"/>
        <v>-0.98970865822093745</v>
      </c>
      <c r="H25" s="75">
        <f t="shared" si="10"/>
        <v>-0.91571887591166423</v>
      </c>
      <c r="I25" s="75">
        <f t="shared" si="10"/>
        <v>-0.95521554341226478</v>
      </c>
      <c r="J25" s="75">
        <f t="shared" si="10"/>
        <v>-0.82531862234866882</v>
      </c>
      <c r="K25" s="75">
        <f t="shared" si="10"/>
        <v>-0.74552263465139335</v>
      </c>
      <c r="L25" s="75">
        <f t="shared" si="10"/>
        <v>-0.6918703451169621</v>
      </c>
      <c r="M25" s="75">
        <f t="shared" si="10"/>
        <v>-0.6407848465473146</v>
      </c>
      <c r="N25" s="75">
        <f t="shared" si="10"/>
        <v>-0.59214081826831588</v>
      </c>
      <c r="O25" s="75">
        <f t="shared" si="10"/>
        <v>-0.77695661776173119</v>
      </c>
      <c r="Q25" s="75">
        <v>-0.60977488656199375</v>
      </c>
      <c r="S25" s="75"/>
    </row>
    <row r="26" spans="1:20" ht="15.75" customHeight="1" x14ac:dyDescent="0.25">
      <c r="A26" s="68"/>
      <c r="B26" s="194" t="s">
        <v>30</v>
      </c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Q26" s="76"/>
      <c r="S26" s="77">
        <f>+O26-Q26</f>
        <v>0</v>
      </c>
    </row>
    <row r="27" spans="1:20" ht="15.75" customHeight="1" x14ac:dyDescent="0.25">
      <c r="A27" s="68"/>
      <c r="B27" s="194" t="s">
        <v>31</v>
      </c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9"/>
      <c r="N27" s="79"/>
      <c r="O27" s="80"/>
      <c r="Q27" s="80"/>
      <c r="S27" s="81">
        <f>+O27-Q27</f>
        <v>0</v>
      </c>
    </row>
    <row r="28" spans="1:20" ht="15.75" customHeight="1" x14ac:dyDescent="0.25">
      <c r="A28" s="68"/>
      <c r="B28" s="191" t="s">
        <v>32</v>
      </c>
      <c r="C28" s="52">
        <f t="shared" ref="C28:N28" si="11">C26+C27</f>
        <v>0</v>
      </c>
      <c r="D28" s="52">
        <f t="shared" si="11"/>
        <v>0</v>
      </c>
      <c r="E28" s="52">
        <f t="shared" si="11"/>
        <v>0</v>
      </c>
      <c r="F28" s="52">
        <f t="shared" si="11"/>
        <v>0</v>
      </c>
      <c r="G28" s="52">
        <f t="shared" si="11"/>
        <v>0</v>
      </c>
      <c r="H28" s="52">
        <f t="shared" si="11"/>
        <v>0</v>
      </c>
      <c r="I28" s="52">
        <f t="shared" si="11"/>
        <v>0</v>
      </c>
      <c r="J28" s="52">
        <f t="shared" si="11"/>
        <v>0</v>
      </c>
      <c r="K28" s="52">
        <f t="shared" si="11"/>
        <v>0</v>
      </c>
      <c r="L28" s="52">
        <f t="shared" si="11"/>
        <v>0</v>
      </c>
      <c r="M28" s="52">
        <f t="shared" si="11"/>
        <v>0</v>
      </c>
      <c r="N28" s="52">
        <f t="shared" si="11"/>
        <v>0</v>
      </c>
      <c r="O28" s="52">
        <f>O26+O27</f>
        <v>0</v>
      </c>
      <c r="Q28" s="52"/>
      <c r="S28" s="52">
        <f>+O28-Q28</f>
        <v>0</v>
      </c>
    </row>
    <row r="29" spans="1:20" ht="15.75" customHeight="1" x14ac:dyDescent="0.25">
      <c r="A29" s="50"/>
      <c r="B29" s="198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4"/>
      <c r="N29" s="84"/>
      <c r="O29" s="84"/>
      <c r="Q29" s="84"/>
      <c r="S29" s="84"/>
    </row>
    <row r="30" spans="1:20" ht="15.75" customHeight="1" x14ac:dyDescent="0.25">
      <c r="A30" s="85"/>
      <c r="B30" s="198"/>
      <c r="C30" s="9" t="str">
        <f t="shared" ref="C30:N30" si="12">+C4</f>
        <v>ACTUAL</v>
      </c>
      <c r="D30" s="9" t="str">
        <f t="shared" si="12"/>
        <v>ACTUAL</v>
      </c>
      <c r="E30" s="9" t="str">
        <f t="shared" si="12"/>
        <v>ACTUAL</v>
      </c>
      <c r="F30" s="10" t="str">
        <f t="shared" si="12"/>
        <v>ACTUAL</v>
      </c>
      <c r="G30" s="10" t="str">
        <f t="shared" si="12"/>
        <v>ACTUAL</v>
      </c>
      <c r="H30" s="10" t="str">
        <f t="shared" si="12"/>
        <v xml:space="preserve">FORECAST </v>
      </c>
      <c r="I30" s="10" t="str">
        <f t="shared" si="12"/>
        <v xml:space="preserve">FORECAST </v>
      </c>
      <c r="J30" s="10" t="str">
        <f t="shared" si="12"/>
        <v xml:space="preserve">FORECAST </v>
      </c>
      <c r="K30" s="10" t="str">
        <f t="shared" si="12"/>
        <v xml:space="preserve">FORECAST </v>
      </c>
      <c r="L30" s="10" t="str">
        <f t="shared" si="12"/>
        <v xml:space="preserve">FORECAST </v>
      </c>
      <c r="M30" s="10" t="str">
        <f t="shared" si="12"/>
        <v xml:space="preserve">FORECAST </v>
      </c>
      <c r="N30" s="10" t="str">
        <f t="shared" si="12"/>
        <v xml:space="preserve">FORECAST </v>
      </c>
      <c r="O30" s="87"/>
      <c r="Q30" s="88" t="s">
        <v>1</v>
      </c>
      <c r="S30" s="87"/>
    </row>
    <row r="31" spans="1:20" ht="15.75" customHeight="1" collapsed="1" x14ac:dyDescent="0.25">
      <c r="A31" s="85"/>
      <c r="B31" s="510" t="s">
        <v>33</v>
      </c>
      <c r="C31" s="13">
        <v>2026</v>
      </c>
      <c r="D31" s="13">
        <v>2026</v>
      </c>
      <c r="E31" s="13">
        <v>2026</v>
      </c>
      <c r="F31" s="13">
        <v>2026</v>
      </c>
      <c r="G31" s="13">
        <v>2026</v>
      </c>
      <c r="H31" s="13">
        <v>2026</v>
      </c>
      <c r="I31" s="13">
        <v>2026</v>
      </c>
      <c r="J31" s="13">
        <v>2026</v>
      </c>
      <c r="K31" s="13">
        <v>2026</v>
      </c>
      <c r="L31" s="13">
        <v>2026</v>
      </c>
      <c r="M31" s="13">
        <v>2026</v>
      </c>
      <c r="N31" s="89">
        <v>2026</v>
      </c>
      <c r="O31" s="90"/>
      <c r="Q31" s="91">
        <v>2026</v>
      </c>
    </row>
    <row r="32" spans="1:20" ht="15.75" hidden="1" customHeight="1" outlineLevel="2" x14ac:dyDescent="0.25">
      <c r="A32" s="68"/>
      <c r="B32" s="511"/>
      <c r="C32" s="176" t="s">
        <v>3</v>
      </c>
      <c r="D32" s="92" t="s">
        <v>4</v>
      </c>
      <c r="E32" s="92" t="s">
        <v>5</v>
      </c>
      <c r="F32" s="92" t="s">
        <v>6</v>
      </c>
      <c r="G32" s="92" t="s">
        <v>7</v>
      </c>
      <c r="H32" s="92" t="s">
        <v>8</v>
      </c>
      <c r="I32" s="92" t="s">
        <v>9</v>
      </c>
      <c r="J32" s="92" t="s">
        <v>10</v>
      </c>
      <c r="K32" s="92" t="s">
        <v>11</v>
      </c>
      <c r="L32" s="92" t="s">
        <v>12</v>
      </c>
      <c r="M32" s="92" t="s">
        <v>13</v>
      </c>
      <c r="N32" s="93" t="s">
        <v>14</v>
      </c>
      <c r="O32" s="94"/>
      <c r="Q32" s="88" t="s">
        <v>15</v>
      </c>
    </row>
    <row r="33" spans="1:20" ht="15.75" hidden="1" customHeight="1" outlineLevel="2" x14ac:dyDescent="0.25">
      <c r="A33" s="68"/>
      <c r="B33" s="199" t="s">
        <v>34</v>
      </c>
      <c r="C33" s="96">
        <f>+SUM(C34:C36)</f>
        <v>0</v>
      </c>
      <c r="D33" s="96">
        <f>+SUM(D34:D36)</f>
        <v>0</v>
      </c>
      <c r="E33" s="96">
        <f>+SUM(E34:E36)</f>
        <v>0</v>
      </c>
      <c r="F33" s="96">
        <f t="shared" ref="F33:N33" si="13">+F8</f>
        <v>27986</v>
      </c>
      <c r="G33" s="96">
        <f t="shared" si="13"/>
        <v>28427.78</v>
      </c>
      <c r="H33" s="96">
        <f t="shared" si="13"/>
        <v>39214</v>
      </c>
      <c r="I33" s="96">
        <f t="shared" si="13"/>
        <v>41175</v>
      </c>
      <c r="J33" s="96">
        <f t="shared" si="13"/>
        <v>43233</v>
      </c>
      <c r="K33" s="96">
        <f t="shared" si="13"/>
        <v>45395</v>
      </c>
      <c r="L33" s="96">
        <f t="shared" si="13"/>
        <v>47665</v>
      </c>
      <c r="M33" s="96">
        <f t="shared" si="13"/>
        <v>50048</v>
      </c>
      <c r="N33" s="96">
        <f t="shared" si="13"/>
        <v>52550</v>
      </c>
      <c r="O33" s="97"/>
      <c r="Q33" s="98"/>
    </row>
    <row r="34" spans="1:20" ht="15.75" hidden="1" customHeight="1" outlineLevel="2" x14ac:dyDescent="0.25">
      <c r="A34" s="68"/>
      <c r="B34" s="200" t="s">
        <v>35</v>
      </c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97"/>
      <c r="Q34" s="101"/>
    </row>
    <row r="35" spans="1:20" ht="15.75" hidden="1" customHeight="1" outlineLevel="2" x14ac:dyDescent="0.25">
      <c r="A35" s="68"/>
      <c r="B35" s="200" t="s">
        <v>36</v>
      </c>
      <c r="C35" s="177"/>
      <c r="D35" s="102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97"/>
      <c r="Q35" s="103"/>
    </row>
    <row r="36" spans="1:20" ht="15.75" hidden="1" customHeight="1" outlineLevel="2" x14ac:dyDescent="0.25">
      <c r="A36" s="68"/>
      <c r="B36" s="201" t="s">
        <v>37</v>
      </c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5"/>
      <c r="N36" s="105"/>
      <c r="O36" s="97"/>
      <c r="Q36" s="101"/>
    </row>
    <row r="37" spans="1:20" ht="15.75" hidden="1" customHeight="1" outlineLevel="2" x14ac:dyDescent="0.25">
      <c r="A37" s="68"/>
      <c r="B37" s="202" t="s">
        <v>38</v>
      </c>
      <c r="C37" s="178">
        <f t="shared" ref="C37:N37" si="14">+SUM(C38:C41)</f>
        <v>0</v>
      </c>
      <c r="D37" s="107">
        <f t="shared" si="14"/>
        <v>0</v>
      </c>
      <c r="E37" s="107">
        <f t="shared" si="14"/>
        <v>0</v>
      </c>
      <c r="F37" s="107">
        <f t="shared" si="14"/>
        <v>0</v>
      </c>
      <c r="G37" s="107">
        <f t="shared" si="14"/>
        <v>0</v>
      </c>
      <c r="H37" s="107">
        <f t="shared" si="14"/>
        <v>0</v>
      </c>
      <c r="I37" s="107">
        <f t="shared" si="14"/>
        <v>0</v>
      </c>
      <c r="J37" s="107">
        <f t="shared" si="14"/>
        <v>0</v>
      </c>
      <c r="K37" s="107">
        <f t="shared" si="14"/>
        <v>0</v>
      </c>
      <c r="L37" s="107">
        <f t="shared" si="14"/>
        <v>0</v>
      </c>
      <c r="M37" s="107">
        <f t="shared" si="14"/>
        <v>0</v>
      </c>
      <c r="N37" s="108">
        <f t="shared" si="14"/>
        <v>0</v>
      </c>
      <c r="O37" s="97"/>
      <c r="Q37" s="98"/>
    </row>
    <row r="38" spans="1:20" ht="15.75" hidden="1" customHeight="1" outlineLevel="2" x14ac:dyDescent="0.25">
      <c r="A38" s="68"/>
      <c r="B38" s="203" t="s">
        <v>39</v>
      </c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110"/>
      <c r="Q38" s="111"/>
    </row>
    <row r="39" spans="1:20" ht="15.75" hidden="1" customHeight="1" outlineLevel="2" x14ac:dyDescent="0.25">
      <c r="A39" s="68"/>
      <c r="B39" s="203" t="s">
        <v>40</v>
      </c>
      <c r="C39" s="80"/>
      <c r="D39" s="110"/>
      <c r="E39" s="110"/>
      <c r="F39" s="80"/>
      <c r="G39" s="80"/>
      <c r="H39" s="80"/>
      <c r="I39" s="80"/>
      <c r="J39" s="80"/>
      <c r="K39" s="80"/>
      <c r="L39" s="80"/>
      <c r="M39" s="80"/>
      <c r="N39" s="80"/>
      <c r="O39" s="110"/>
      <c r="Q39" s="111"/>
    </row>
    <row r="40" spans="1:20" ht="15.75" customHeight="1" x14ac:dyDescent="0.25">
      <c r="A40" s="85"/>
      <c r="B40" s="203" t="s">
        <v>41</v>
      </c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110"/>
      <c r="Q40" s="111"/>
    </row>
    <row r="41" spans="1:20" ht="15.75" customHeight="1" x14ac:dyDescent="0.25">
      <c r="A41" s="50"/>
      <c r="B41" s="204" t="s">
        <v>42</v>
      </c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110"/>
      <c r="Q41" s="111"/>
    </row>
    <row r="42" spans="1:20" ht="15.75" customHeight="1" x14ac:dyDescent="0.25">
      <c r="A42" s="85"/>
      <c r="B42" s="205" t="s">
        <v>43</v>
      </c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Q42" s="114"/>
    </row>
    <row r="43" spans="1:20" ht="15.75" customHeight="1" x14ac:dyDescent="0.25">
      <c r="A43" s="85"/>
      <c r="B43" s="202" t="s">
        <v>44</v>
      </c>
      <c r="C43" s="179">
        <f t="shared" ref="C43:N43" si="15">+C37+C42</f>
        <v>0</v>
      </c>
      <c r="D43" s="117">
        <f t="shared" si="15"/>
        <v>0</v>
      </c>
      <c r="E43" s="117">
        <f t="shared" si="15"/>
        <v>0</v>
      </c>
      <c r="F43" s="117">
        <f t="shared" si="15"/>
        <v>0</v>
      </c>
      <c r="G43" s="117">
        <f t="shared" si="15"/>
        <v>0</v>
      </c>
      <c r="H43" s="117">
        <f t="shared" si="15"/>
        <v>0</v>
      </c>
      <c r="I43" s="117">
        <f t="shared" si="15"/>
        <v>0</v>
      </c>
      <c r="J43" s="117">
        <f t="shared" si="15"/>
        <v>0</v>
      </c>
      <c r="K43" s="117">
        <f t="shared" si="15"/>
        <v>0</v>
      </c>
      <c r="L43" s="117">
        <f t="shared" si="15"/>
        <v>0</v>
      </c>
      <c r="M43" s="117">
        <f t="shared" si="15"/>
        <v>0</v>
      </c>
      <c r="N43" s="118">
        <f t="shared" si="15"/>
        <v>0</v>
      </c>
      <c r="O43" s="97"/>
      <c r="Q43" s="119">
        <f>+Q37+Q42</f>
        <v>0</v>
      </c>
    </row>
    <row r="44" spans="1:20" s="127" customFormat="1" ht="15.75" customHeight="1" x14ac:dyDescent="0.25">
      <c r="A44" s="71"/>
      <c r="B44" s="206" t="s">
        <v>45</v>
      </c>
      <c r="C44" s="121"/>
      <c r="D44" s="122"/>
      <c r="E44" s="122"/>
      <c r="F44" s="122"/>
      <c r="G44" s="122"/>
      <c r="H44" s="122"/>
      <c r="I44" s="122"/>
      <c r="J44" s="122"/>
      <c r="K44" s="122"/>
      <c r="L44" s="122"/>
      <c r="M44" s="123"/>
      <c r="N44" s="123"/>
      <c r="O44" s="124"/>
      <c r="P44" s="125"/>
      <c r="Q44" s="126"/>
      <c r="R44" s="125"/>
      <c r="S44" s="5"/>
      <c r="T44" s="5"/>
    </row>
    <row r="45" spans="1:20" ht="15" customHeight="1" x14ac:dyDescent="0.25">
      <c r="B45" s="207" t="s">
        <v>46</v>
      </c>
      <c r="C45" s="180">
        <f t="shared" ref="C45:N45" si="16">C33+C43+C44</f>
        <v>0</v>
      </c>
      <c r="D45" s="107">
        <f t="shared" si="16"/>
        <v>0</v>
      </c>
      <c r="E45" s="107">
        <f t="shared" si="16"/>
        <v>0</v>
      </c>
      <c r="F45" s="107">
        <f t="shared" si="16"/>
        <v>27986</v>
      </c>
      <c r="G45" s="107">
        <f t="shared" si="16"/>
        <v>28427.78</v>
      </c>
      <c r="H45" s="107">
        <f t="shared" si="16"/>
        <v>39214</v>
      </c>
      <c r="I45" s="107">
        <f t="shared" si="16"/>
        <v>41175</v>
      </c>
      <c r="J45" s="107">
        <f t="shared" si="16"/>
        <v>43233</v>
      </c>
      <c r="K45" s="107">
        <f t="shared" si="16"/>
        <v>45395</v>
      </c>
      <c r="L45" s="107">
        <f t="shared" si="16"/>
        <v>47665</v>
      </c>
      <c r="M45" s="107">
        <f t="shared" si="16"/>
        <v>50048</v>
      </c>
      <c r="N45" s="108">
        <f t="shared" si="16"/>
        <v>52550</v>
      </c>
      <c r="O45" s="97"/>
      <c r="Q45" s="130">
        <f>Q33+Q43+Q44</f>
        <v>0</v>
      </c>
    </row>
    <row r="46" spans="1:20" s="34" customFormat="1" ht="15" customHeight="1" x14ac:dyDescent="0.25">
      <c r="B46" s="208"/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132"/>
      <c r="Q46" s="97"/>
      <c r="R46" s="132"/>
    </row>
    <row r="47" spans="1:20" s="34" customFormat="1" ht="15" customHeight="1" x14ac:dyDescent="0.25">
      <c r="B47" s="208"/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132"/>
      <c r="Q47" s="97"/>
      <c r="R47" s="132"/>
    </row>
    <row r="48" spans="1:20" s="34" customFormat="1" ht="19.5" customHeight="1" x14ac:dyDescent="0.25">
      <c r="B48" s="209"/>
      <c r="C48" s="9" t="str">
        <f>+C4</f>
        <v>ACTUAL</v>
      </c>
      <c r="D48" s="9" t="str">
        <f t="shared" ref="D48:N48" si="17">+D4</f>
        <v>ACTUAL</v>
      </c>
      <c r="E48" s="9" t="str">
        <f t="shared" si="17"/>
        <v>ACTUAL</v>
      </c>
      <c r="F48" s="10" t="str">
        <f t="shared" si="17"/>
        <v>ACTUAL</v>
      </c>
      <c r="G48" s="10" t="str">
        <f t="shared" si="17"/>
        <v>ACTUAL</v>
      </c>
      <c r="H48" s="10" t="str">
        <f t="shared" si="17"/>
        <v xml:space="preserve">FORECAST </v>
      </c>
      <c r="I48" s="10" t="str">
        <f t="shared" si="17"/>
        <v xml:space="preserve">FORECAST </v>
      </c>
      <c r="J48" s="10" t="str">
        <f t="shared" si="17"/>
        <v xml:space="preserve">FORECAST </v>
      </c>
      <c r="K48" s="10" t="str">
        <f t="shared" si="17"/>
        <v xml:space="preserve">FORECAST </v>
      </c>
      <c r="L48" s="10" t="str">
        <f t="shared" si="17"/>
        <v xml:space="preserve">FORECAST </v>
      </c>
      <c r="M48" s="10" t="str">
        <f t="shared" si="17"/>
        <v xml:space="preserve">FORECAST </v>
      </c>
      <c r="N48" s="10" t="str">
        <f t="shared" si="17"/>
        <v xml:space="preserve">FORECAST </v>
      </c>
      <c r="P48" s="132"/>
      <c r="R48" s="132"/>
    </row>
    <row r="49" spans="1:15" ht="15.75" customHeight="1" x14ac:dyDescent="0.25">
      <c r="A49" s="85"/>
      <c r="B49" s="510" t="s">
        <v>55</v>
      </c>
      <c r="C49" s="13">
        <v>2026</v>
      </c>
      <c r="D49" s="13">
        <v>2026</v>
      </c>
      <c r="E49" s="13">
        <v>2026</v>
      </c>
      <c r="F49" s="13">
        <v>2026</v>
      </c>
      <c r="G49" s="13">
        <v>2026</v>
      </c>
      <c r="H49" s="13">
        <v>2026</v>
      </c>
      <c r="I49" s="13">
        <v>2026</v>
      </c>
      <c r="J49" s="13">
        <v>2026</v>
      </c>
      <c r="K49" s="13">
        <v>2026</v>
      </c>
      <c r="L49" s="13">
        <v>2026</v>
      </c>
      <c r="M49" s="13">
        <v>2026</v>
      </c>
      <c r="N49" s="89">
        <v>2026</v>
      </c>
      <c r="O49" s="90"/>
    </row>
    <row r="50" spans="1:15" ht="15.75" customHeight="1" x14ac:dyDescent="0.25">
      <c r="A50" s="68"/>
      <c r="B50" s="511"/>
      <c r="C50" s="176" t="s">
        <v>3</v>
      </c>
      <c r="D50" s="92" t="s">
        <v>4</v>
      </c>
      <c r="E50" s="92" t="s">
        <v>5</v>
      </c>
      <c r="F50" s="92" t="s">
        <v>6</v>
      </c>
      <c r="G50" s="92" t="s">
        <v>7</v>
      </c>
      <c r="H50" s="92" t="s">
        <v>8</v>
      </c>
      <c r="I50" s="92" t="s">
        <v>9</v>
      </c>
      <c r="J50" s="92" t="s">
        <v>10</v>
      </c>
      <c r="K50" s="92" t="s">
        <v>11</v>
      </c>
      <c r="L50" s="92" t="s">
        <v>12</v>
      </c>
      <c r="M50" s="92" t="s">
        <v>13</v>
      </c>
      <c r="N50" s="93" t="s">
        <v>14</v>
      </c>
      <c r="O50" s="94"/>
    </row>
    <row r="51" spans="1:15" ht="15" customHeight="1" x14ac:dyDescent="0.25">
      <c r="B51" s="210" t="s">
        <v>56</v>
      </c>
    </row>
    <row r="52" spans="1:15" ht="15" customHeight="1" x14ac:dyDescent="0.25">
      <c r="B52" s="185" t="s">
        <v>17</v>
      </c>
    </row>
    <row r="53" spans="1:15" ht="6.6" customHeight="1" x14ac:dyDescent="0.25">
      <c r="B53" s="210"/>
    </row>
    <row r="54" spans="1:15" ht="15" customHeight="1" x14ac:dyDescent="0.25">
      <c r="B54" s="210" t="s">
        <v>57</v>
      </c>
    </row>
    <row r="55" spans="1:15" ht="15" customHeight="1" x14ac:dyDescent="0.25">
      <c r="B55" s="185" t="s">
        <v>17</v>
      </c>
    </row>
    <row r="56" spans="1:15" s="132" customFormat="1" ht="6" customHeight="1" x14ac:dyDescent="0.25">
      <c r="B56" s="211"/>
      <c r="E56" s="133"/>
    </row>
    <row r="57" spans="1:15" s="132" customFormat="1" ht="13.5" customHeight="1" x14ac:dyDescent="0.25">
      <c r="B57" s="211" t="s">
        <v>58</v>
      </c>
      <c r="E57" s="133"/>
    </row>
    <row r="58" spans="1:15" s="132" customFormat="1" ht="6" customHeight="1" x14ac:dyDescent="0.25">
      <c r="B58" s="211"/>
      <c r="E58" s="133"/>
    </row>
    <row r="59" spans="1:15" ht="15" customHeight="1" x14ac:dyDescent="0.25">
      <c r="B59" s="212" t="s">
        <v>59</v>
      </c>
      <c r="C59" s="134"/>
      <c r="D59" s="134"/>
      <c r="E59" s="135"/>
    </row>
    <row r="60" spans="1:15" ht="15" customHeight="1" x14ac:dyDescent="0.25">
      <c r="B60" s="212"/>
      <c r="C60" s="136"/>
      <c r="D60" s="136"/>
      <c r="E60" s="135"/>
    </row>
    <row r="61" spans="1:15" ht="15" customHeight="1" x14ac:dyDescent="0.25">
      <c r="B61" s="512" t="s">
        <v>60</v>
      </c>
      <c r="C61" s="513"/>
      <c r="D61" s="513"/>
      <c r="E61" s="513"/>
      <c r="F61" s="513"/>
      <c r="G61" s="513"/>
      <c r="H61" s="513"/>
      <c r="I61" s="513"/>
      <c r="J61" s="513"/>
      <c r="K61" s="513"/>
      <c r="L61" s="513"/>
      <c r="M61" s="513"/>
      <c r="N61" s="514"/>
    </row>
    <row r="62" spans="1:15" ht="15" customHeight="1" x14ac:dyDescent="0.25">
      <c r="B62" s="210" t="s">
        <v>97</v>
      </c>
      <c r="C62" s="137"/>
      <c r="D62" s="137"/>
      <c r="E62" s="138"/>
    </row>
    <row r="63" spans="1:15" ht="15" customHeight="1" x14ac:dyDescent="0.25">
      <c r="B63" s="210" t="s">
        <v>98</v>
      </c>
      <c r="C63" s="137"/>
      <c r="D63" s="137"/>
      <c r="E63" s="138"/>
    </row>
    <row r="64" spans="1:15" ht="15" customHeight="1" x14ac:dyDescent="0.25">
      <c r="B64" s="210" t="s">
        <v>61</v>
      </c>
      <c r="C64" s="137"/>
      <c r="D64" s="137"/>
      <c r="E64" s="139"/>
    </row>
    <row r="65" spans="2:5" ht="15" customHeight="1" x14ac:dyDescent="0.25">
      <c r="B65" s="210"/>
      <c r="C65" s="137"/>
      <c r="D65" s="137"/>
      <c r="E65" s="139"/>
    </row>
    <row r="66" spans="2:5" ht="15" customHeight="1" x14ac:dyDescent="0.25">
      <c r="B66" s="210"/>
    </row>
    <row r="67" spans="2:5" ht="7.5" customHeight="1" x14ac:dyDescent="0.25">
      <c r="B67" s="210"/>
    </row>
    <row r="68" spans="2:5" ht="15" customHeight="1" x14ac:dyDescent="0.25">
      <c r="B68" s="200"/>
    </row>
  </sheetData>
  <sheetProtection selectLockedCells="1" selectUnlockedCells="1"/>
  <mergeCells count="4">
    <mergeCell ref="B5:B6"/>
    <mergeCell ref="B31:B32"/>
    <mergeCell ref="B49:B50"/>
    <mergeCell ref="B61:N61"/>
  </mergeCells>
  <printOptions horizontalCentered="1" verticalCentered="1" gridLines="1"/>
  <pageMargins left="0.7" right="0.7" top="0.75" bottom="0.75" header="0" footer="0"/>
  <pageSetup paperSize="9" scale="33" pageOrder="overThenDown" orientation="portrait" cellComments="atEnd"/>
  <ignoredErrors>
    <ignoredError sqref="O17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8B09F-91E7-4271-B951-2945A09518CF}">
  <dimension ref="A2:U67"/>
  <sheetViews>
    <sheetView showGridLines="0" zoomScale="90" zoomScaleNormal="90" workbookViewId="0">
      <selection activeCell="S20" sqref="S20"/>
    </sheetView>
  </sheetViews>
  <sheetFormatPr baseColWidth="10" defaultColWidth="9" defaultRowHeight="15" outlineLevelCol="1" x14ac:dyDescent="0.25"/>
  <cols>
    <col min="1" max="1" width="1.85546875" bestFit="1" customWidth="1"/>
    <col min="2" max="2" width="38.42578125" bestFit="1" customWidth="1"/>
    <col min="3" max="4" width="10.7109375" bestFit="1" customWidth="1" outlineLevel="1"/>
    <col min="5" max="5" width="10.28515625" customWidth="1" outlineLevel="1"/>
    <col min="6" max="6" width="11.85546875" customWidth="1" outlineLevel="1"/>
    <col min="7" max="7" width="10.85546875" bestFit="1" customWidth="1" outlineLevel="1"/>
    <col min="8" max="14" width="10.7109375" bestFit="1" customWidth="1" outlineLevel="1"/>
    <col min="15" max="15" width="13.140625" bestFit="1" customWidth="1"/>
    <col min="16" max="16" width="8.7109375" bestFit="1" customWidth="1"/>
    <col min="17" max="17" width="10.7109375" bestFit="1" customWidth="1"/>
    <col min="18" max="19" width="8.7109375" bestFit="1" customWidth="1"/>
    <col min="20" max="20" width="52" customWidth="1"/>
  </cols>
  <sheetData>
    <row r="2" spans="1:21" ht="30" x14ac:dyDescent="0.25">
      <c r="A2" s="387"/>
      <c r="B2" s="169" t="s">
        <v>65</v>
      </c>
      <c r="C2" s="170" t="s">
        <v>89</v>
      </c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213"/>
      <c r="Q2" s="214"/>
      <c r="R2" s="213"/>
      <c r="S2" s="214"/>
      <c r="T2" s="215"/>
      <c r="U2" s="144"/>
    </row>
    <row r="3" spans="1:21" x14ac:dyDescent="0.25">
      <c r="A3" s="387"/>
      <c r="B3" s="217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388"/>
      <c r="N3" s="388"/>
      <c r="O3" s="388"/>
      <c r="P3" s="144"/>
      <c r="Q3" s="388"/>
      <c r="R3" s="144"/>
      <c r="S3" s="388"/>
      <c r="T3" s="144"/>
      <c r="U3" s="144"/>
    </row>
    <row r="4" spans="1:21" s="383" customFormat="1" x14ac:dyDescent="0.25">
      <c r="A4" s="389"/>
      <c r="B4" s="390"/>
      <c r="C4" s="377" t="s">
        <v>49</v>
      </c>
      <c r="D4" s="377" t="s">
        <v>49</v>
      </c>
      <c r="E4" s="377" t="s">
        <v>49</v>
      </c>
      <c r="F4" s="377" t="s">
        <v>49</v>
      </c>
      <c r="G4" s="378" t="s">
        <v>49</v>
      </c>
      <c r="H4" s="379" t="s">
        <v>51</v>
      </c>
      <c r="I4" s="379" t="s">
        <v>51</v>
      </c>
      <c r="J4" s="379" t="s">
        <v>51</v>
      </c>
      <c r="K4" s="379" t="s">
        <v>51</v>
      </c>
      <c r="L4" s="379" t="s">
        <v>51</v>
      </c>
      <c r="M4" s="379" t="s">
        <v>51</v>
      </c>
      <c r="N4" s="379" t="s">
        <v>51</v>
      </c>
      <c r="O4" s="380" t="s">
        <v>67</v>
      </c>
      <c r="P4" s="381"/>
      <c r="Q4" s="382" t="s">
        <v>1</v>
      </c>
      <c r="R4" s="381"/>
      <c r="S4" s="381"/>
      <c r="T4" s="381"/>
      <c r="U4" s="381"/>
    </row>
    <row r="5" spans="1:21" s="374" customFormat="1" ht="17.25" customHeight="1" x14ac:dyDescent="0.25">
      <c r="A5" s="391" t="s">
        <v>90</v>
      </c>
      <c r="B5" s="519" t="s">
        <v>2</v>
      </c>
      <c r="C5" s="375">
        <v>2026</v>
      </c>
      <c r="D5" s="375">
        <v>2026</v>
      </c>
      <c r="E5" s="375">
        <v>2026</v>
      </c>
      <c r="F5" s="375">
        <v>2026</v>
      </c>
      <c r="G5" s="375">
        <v>2026</v>
      </c>
      <c r="H5" s="375">
        <v>2026</v>
      </c>
      <c r="I5" s="375">
        <v>2026</v>
      </c>
      <c r="J5" s="375">
        <v>2026</v>
      </c>
      <c r="K5" s="375">
        <v>2026</v>
      </c>
      <c r="L5" s="375">
        <v>2026</v>
      </c>
      <c r="M5" s="375">
        <v>2026</v>
      </c>
      <c r="N5" s="375">
        <v>2026</v>
      </c>
      <c r="O5" s="376">
        <v>2026</v>
      </c>
      <c r="P5" s="371"/>
      <c r="Q5" s="384">
        <v>2026</v>
      </c>
      <c r="R5" s="371"/>
      <c r="S5" s="371"/>
      <c r="T5" s="371"/>
      <c r="U5" s="371"/>
    </row>
    <row r="6" spans="1:21" s="374" customFormat="1" ht="17.25" customHeight="1" x14ac:dyDescent="0.25">
      <c r="A6" s="368" t="s">
        <v>90</v>
      </c>
      <c r="B6" s="520"/>
      <c r="C6" s="369" t="s">
        <v>3</v>
      </c>
      <c r="D6" s="369" t="s">
        <v>4</v>
      </c>
      <c r="E6" s="369" t="s">
        <v>5</v>
      </c>
      <c r="F6" s="369" t="s">
        <v>6</v>
      </c>
      <c r="G6" s="369" t="s">
        <v>7</v>
      </c>
      <c r="H6" s="369" t="s">
        <v>8</v>
      </c>
      <c r="I6" s="369" t="s">
        <v>9</v>
      </c>
      <c r="J6" s="369" t="s">
        <v>10</v>
      </c>
      <c r="K6" s="369" t="s">
        <v>11</v>
      </c>
      <c r="L6" s="369" t="s">
        <v>12</v>
      </c>
      <c r="M6" s="369" t="s">
        <v>13</v>
      </c>
      <c r="N6" s="369" t="s">
        <v>14</v>
      </c>
      <c r="O6" s="370" t="s">
        <v>15</v>
      </c>
      <c r="P6" s="371"/>
      <c r="Q6" s="385" t="s">
        <v>15</v>
      </c>
      <c r="R6" s="371"/>
      <c r="S6" s="372" t="s">
        <v>53</v>
      </c>
      <c r="T6" s="373" t="s">
        <v>54</v>
      </c>
      <c r="U6" s="371"/>
    </row>
    <row r="7" spans="1:21" x14ac:dyDescent="0.25">
      <c r="A7" s="392" t="s">
        <v>90</v>
      </c>
      <c r="B7" s="393" t="s">
        <v>90</v>
      </c>
      <c r="C7" s="149"/>
      <c r="D7" s="149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4"/>
      <c r="Q7" s="149"/>
      <c r="R7" s="144"/>
      <c r="S7" s="149"/>
      <c r="T7" s="394" t="s">
        <v>90</v>
      </c>
      <c r="U7" s="144"/>
    </row>
    <row r="8" spans="1:21" x14ac:dyDescent="0.25">
      <c r="A8" s="395" t="s">
        <v>90</v>
      </c>
      <c r="B8" s="396" t="s">
        <v>16</v>
      </c>
      <c r="C8" s="397">
        <v>34152.61</v>
      </c>
      <c r="D8" s="397">
        <v>13536.279999999999</v>
      </c>
      <c r="E8" s="397">
        <v>99915.24</v>
      </c>
      <c r="F8" s="397">
        <v>106600.47</v>
      </c>
      <c r="G8" s="367">
        <v>46742.210000000006</v>
      </c>
      <c r="H8" s="397">
        <v>5900</v>
      </c>
      <c r="I8" s="397">
        <v>35900</v>
      </c>
      <c r="J8" s="397">
        <v>31900</v>
      </c>
      <c r="K8" s="397">
        <v>136690</v>
      </c>
      <c r="L8" s="397">
        <v>115298</v>
      </c>
      <c r="M8" s="397">
        <v>120650</v>
      </c>
      <c r="N8" s="397">
        <v>156012</v>
      </c>
      <c r="O8" s="397">
        <f>+SUM(C8:N8)</f>
        <v>903296.81</v>
      </c>
      <c r="P8" s="150"/>
      <c r="Q8" s="397">
        <v>935284</v>
      </c>
      <c r="R8" s="150"/>
      <c r="S8" s="151">
        <f>+O8-Q8</f>
        <v>-31987.189999999944</v>
      </c>
      <c r="T8" s="398" t="s">
        <v>90</v>
      </c>
      <c r="U8" s="152" t="s">
        <v>90</v>
      </c>
    </row>
    <row r="9" spans="1:21" x14ac:dyDescent="0.25">
      <c r="A9" s="399" t="s">
        <v>90</v>
      </c>
      <c r="B9" s="400" t="s">
        <v>17</v>
      </c>
      <c r="C9" s="401" t="str">
        <f t="shared" ref="C9:N9" si="0">IFERROR((C8/B8)-1,"na")</f>
        <v>na</v>
      </c>
      <c r="D9" s="401">
        <f t="shared" si="0"/>
        <v>-0.60365313222034866</v>
      </c>
      <c r="E9" s="401">
        <f t="shared" si="0"/>
        <v>6.3812923491535347</v>
      </c>
      <c r="F9" s="401">
        <f t="shared" si="0"/>
        <v>6.6909012078637753E-2</v>
      </c>
      <c r="G9" s="401">
        <f t="shared" si="0"/>
        <v>-0.56151966309341783</v>
      </c>
      <c r="H9" s="401">
        <f t="shared" si="0"/>
        <v>-0.87377575857025158</v>
      </c>
      <c r="I9" s="401">
        <f t="shared" si="0"/>
        <v>5.0847457627118642</v>
      </c>
      <c r="J9" s="401">
        <f t="shared" si="0"/>
        <v>-0.11142061281337046</v>
      </c>
      <c r="K9" s="401">
        <f t="shared" si="0"/>
        <v>3.2849529780564266</v>
      </c>
      <c r="L9" s="401">
        <f t="shared" si="0"/>
        <v>-0.15650010973736195</v>
      </c>
      <c r="M9" s="401">
        <f t="shared" si="0"/>
        <v>4.6418845079706506E-2</v>
      </c>
      <c r="N9" s="401">
        <f t="shared" si="0"/>
        <v>0.29309573145462076</v>
      </c>
      <c r="O9" s="402"/>
      <c r="P9" s="150"/>
      <c r="Q9" s="403" t="s">
        <v>90</v>
      </c>
      <c r="R9" s="150"/>
      <c r="S9" s="404" t="s">
        <v>90</v>
      </c>
      <c r="T9" s="405" t="s">
        <v>90</v>
      </c>
      <c r="U9" s="153" t="s">
        <v>90</v>
      </c>
    </row>
    <row r="10" spans="1:21" x14ac:dyDescent="0.25">
      <c r="A10" s="406" t="s">
        <v>90</v>
      </c>
      <c r="B10" s="407" t="s">
        <v>18</v>
      </c>
      <c r="C10" s="408">
        <v>-14447.029999999999</v>
      </c>
      <c r="D10" s="408">
        <v>-25353.599999999999</v>
      </c>
      <c r="E10" s="408">
        <v>-22309.48</v>
      </c>
      <c r="F10" s="408">
        <v>-29285.4</v>
      </c>
      <c r="G10" s="408">
        <v>-28174.809999999998</v>
      </c>
      <c r="H10" s="408">
        <v>-22165.27</v>
      </c>
      <c r="I10" s="408">
        <v>-22165.27</v>
      </c>
      <c r="J10" s="408">
        <v>-22165.27</v>
      </c>
      <c r="K10" s="408">
        <v>-22190.27</v>
      </c>
      <c r="L10" s="408">
        <v>-22190.27</v>
      </c>
      <c r="M10" s="408">
        <v>-22190.27</v>
      </c>
      <c r="N10" s="408">
        <v>-22484.27</v>
      </c>
      <c r="O10" s="408">
        <f>+SUM(C10:N10)</f>
        <v>-275121.20999999996</v>
      </c>
      <c r="P10" s="154" t="s">
        <v>90</v>
      </c>
      <c r="Q10" s="397">
        <v>-294278.2</v>
      </c>
      <c r="R10" s="150"/>
      <c r="S10" s="409">
        <f>+O10-Q10</f>
        <v>19156.990000000049</v>
      </c>
      <c r="T10" s="153" t="s">
        <v>90</v>
      </c>
      <c r="U10" s="153" t="s">
        <v>90</v>
      </c>
    </row>
    <row r="11" spans="1:21" x14ac:dyDescent="0.25">
      <c r="A11" s="406" t="s">
        <v>90</v>
      </c>
      <c r="B11" s="410" t="s">
        <v>19</v>
      </c>
      <c r="C11" s="411">
        <f t="shared" ref="C11:O11" si="1">+C8+C10</f>
        <v>19705.580000000002</v>
      </c>
      <c r="D11" s="411">
        <f t="shared" si="1"/>
        <v>-11817.32</v>
      </c>
      <c r="E11" s="411">
        <f t="shared" si="1"/>
        <v>77605.760000000009</v>
      </c>
      <c r="F11" s="411">
        <f t="shared" si="1"/>
        <v>77315.070000000007</v>
      </c>
      <c r="G11" s="411">
        <f t="shared" si="1"/>
        <v>18567.400000000009</v>
      </c>
      <c r="H11" s="411">
        <f t="shared" si="1"/>
        <v>-16265.27</v>
      </c>
      <c r="I11" s="411">
        <f t="shared" si="1"/>
        <v>13734.73</v>
      </c>
      <c r="J11" s="411">
        <f t="shared" si="1"/>
        <v>9734.73</v>
      </c>
      <c r="K11" s="411">
        <f t="shared" si="1"/>
        <v>114499.73</v>
      </c>
      <c r="L11" s="411">
        <f t="shared" si="1"/>
        <v>93107.73</v>
      </c>
      <c r="M11" s="411">
        <f t="shared" si="1"/>
        <v>98459.73</v>
      </c>
      <c r="N11" s="411">
        <f t="shared" si="1"/>
        <v>133527.73000000001</v>
      </c>
      <c r="O11" s="411">
        <f t="shared" si="1"/>
        <v>628175.60000000009</v>
      </c>
      <c r="P11" s="150"/>
      <c r="Q11" s="411">
        <v>641005.80000000005</v>
      </c>
      <c r="R11" s="150"/>
      <c r="S11" s="409">
        <f>+O11-Q11</f>
        <v>-12830.199999999953</v>
      </c>
      <c r="T11" s="144"/>
      <c r="U11" s="144"/>
    </row>
    <row r="12" spans="1:21" x14ac:dyDescent="0.25">
      <c r="A12" s="399" t="s">
        <v>90</v>
      </c>
      <c r="B12" s="412" t="s">
        <v>20</v>
      </c>
      <c r="C12" s="413">
        <f t="shared" ref="C12:O12" si="2">IFERROR(C11/C8,"na")</f>
        <v>0.57698606343702574</v>
      </c>
      <c r="D12" s="413">
        <f t="shared" si="2"/>
        <v>-0.87301090107474144</v>
      </c>
      <c r="E12" s="413">
        <f t="shared" si="2"/>
        <v>0.77671594443450276</v>
      </c>
      <c r="F12" s="413">
        <f t="shared" si="2"/>
        <v>0.72527888479290947</v>
      </c>
      <c r="G12" s="413">
        <f t="shared" si="2"/>
        <v>0.39722982717334088</v>
      </c>
      <c r="H12" s="413">
        <f t="shared" si="2"/>
        <v>-2.7568254237288135</v>
      </c>
      <c r="I12" s="413">
        <f t="shared" si="2"/>
        <v>0.38258300835654596</v>
      </c>
      <c r="J12" s="413">
        <f t="shared" si="2"/>
        <v>0.30516394984326017</v>
      </c>
      <c r="K12" s="413">
        <f t="shared" si="2"/>
        <v>0.83765988733630836</v>
      </c>
      <c r="L12" s="413">
        <f t="shared" si="2"/>
        <v>0.80753985324983946</v>
      </c>
      <c r="M12" s="413">
        <f t="shared" si="2"/>
        <v>0.81607733112308323</v>
      </c>
      <c r="N12" s="413">
        <f t="shared" si="2"/>
        <v>0.85588115016793587</v>
      </c>
      <c r="O12" s="413">
        <f t="shared" si="2"/>
        <v>0.69542546043088549</v>
      </c>
      <c r="P12" s="150"/>
      <c r="Q12" s="414" t="s">
        <v>91</v>
      </c>
      <c r="R12" s="150"/>
      <c r="S12" s="414" t="s">
        <v>90</v>
      </c>
      <c r="T12" s="144"/>
      <c r="U12" s="144"/>
    </row>
    <row r="13" spans="1:21" x14ac:dyDescent="0.25">
      <c r="A13" s="395" t="s">
        <v>90</v>
      </c>
      <c r="B13" s="415" t="s">
        <v>21</v>
      </c>
      <c r="C13" s="416">
        <v>-32274.639999999992</v>
      </c>
      <c r="D13" s="416">
        <v>-46691.909999999989</v>
      </c>
      <c r="E13" s="416">
        <v>-54357.4</v>
      </c>
      <c r="F13" s="416">
        <v>-73923.080000000016</v>
      </c>
      <c r="G13" s="416">
        <v>-64206.209999999992</v>
      </c>
      <c r="H13" s="416">
        <v>-59533.828134199124</v>
      </c>
      <c r="I13" s="416">
        <v>-59523.828134199124</v>
      </c>
      <c r="J13" s="416">
        <v>-59593.737225108212</v>
      </c>
      <c r="K13" s="416">
        <v>-59503.737225108212</v>
      </c>
      <c r="L13" s="416">
        <v>-59503.737225108212</v>
      </c>
      <c r="M13" s="416">
        <v>-59503.737225108212</v>
      </c>
      <c r="N13" s="416">
        <v>-59503.737225108212</v>
      </c>
      <c r="O13" s="416">
        <f>+SUM(C13:N13)</f>
        <v>-688119.58239393926</v>
      </c>
      <c r="P13" s="150"/>
      <c r="Q13" s="411">
        <v>-682703.99942207767</v>
      </c>
      <c r="R13" s="150"/>
      <c r="S13" s="409">
        <f>+O13-Q13</f>
        <v>-5415.582971861586</v>
      </c>
      <c r="T13" s="144"/>
      <c r="U13" s="144"/>
    </row>
    <row r="14" spans="1:21" x14ac:dyDescent="0.25">
      <c r="A14" s="417" t="s">
        <v>90</v>
      </c>
      <c r="B14" s="418" t="s">
        <v>22</v>
      </c>
      <c r="C14" s="419" t="s">
        <v>90</v>
      </c>
      <c r="D14" s="419" t="s">
        <v>90</v>
      </c>
      <c r="E14" s="419" t="s">
        <v>90</v>
      </c>
      <c r="F14" s="419" t="s">
        <v>90</v>
      </c>
      <c r="G14" s="419" t="s">
        <v>90</v>
      </c>
      <c r="H14" s="419" t="s">
        <v>90</v>
      </c>
      <c r="I14" s="419" t="s">
        <v>90</v>
      </c>
      <c r="J14" s="419" t="s">
        <v>90</v>
      </c>
      <c r="K14" s="419" t="s">
        <v>90</v>
      </c>
      <c r="L14" s="419" t="s">
        <v>90</v>
      </c>
      <c r="M14" s="419" t="s">
        <v>90</v>
      </c>
      <c r="N14" s="419" t="s">
        <v>90</v>
      </c>
      <c r="O14" s="419">
        <v>0</v>
      </c>
      <c r="P14" s="150"/>
      <c r="Q14" s="419" t="s">
        <v>90</v>
      </c>
      <c r="R14" s="150"/>
      <c r="S14" s="419" t="s">
        <v>90</v>
      </c>
      <c r="T14" s="144"/>
      <c r="U14" s="144"/>
    </row>
    <row r="15" spans="1:21" x14ac:dyDescent="0.25">
      <c r="A15" s="417" t="s">
        <v>90</v>
      </c>
      <c r="B15" s="420" t="s">
        <v>23</v>
      </c>
      <c r="C15" s="421">
        <f>+C11+C13</f>
        <v>-12569.05999999999</v>
      </c>
      <c r="D15" s="421">
        <f t="shared" ref="D15:N15" si="3">+D11+D13</f>
        <v>-58509.229999999989</v>
      </c>
      <c r="E15" s="421">
        <f t="shared" si="3"/>
        <v>23248.360000000008</v>
      </c>
      <c r="F15" s="421">
        <f t="shared" si="3"/>
        <v>3391.9899999999907</v>
      </c>
      <c r="G15" s="421">
        <f t="shared" si="3"/>
        <v>-45638.809999999983</v>
      </c>
      <c r="H15" s="421">
        <f t="shared" si="3"/>
        <v>-75799.098134199128</v>
      </c>
      <c r="I15" s="421">
        <f t="shared" si="3"/>
        <v>-45789.098134199128</v>
      </c>
      <c r="J15" s="421">
        <f t="shared" si="3"/>
        <v>-49859.007225108217</v>
      </c>
      <c r="K15" s="421">
        <f t="shared" si="3"/>
        <v>54995.992774891783</v>
      </c>
      <c r="L15" s="421">
        <f t="shared" si="3"/>
        <v>33603.992774891783</v>
      </c>
      <c r="M15" s="421">
        <f t="shared" si="3"/>
        <v>38955.992774891783</v>
      </c>
      <c r="N15" s="421">
        <f t="shared" si="3"/>
        <v>74023.992774891798</v>
      </c>
      <c r="O15" s="421">
        <f>+O11+O13</f>
        <v>-59943.982393939164</v>
      </c>
      <c r="P15" s="150"/>
      <c r="Q15" s="421">
        <v>-41698.199422077625</v>
      </c>
      <c r="R15" s="150"/>
      <c r="S15" s="151">
        <f>+O15-Q15</f>
        <v>-18245.782971861539</v>
      </c>
      <c r="T15" s="144"/>
      <c r="U15" s="144"/>
    </row>
    <row r="16" spans="1:21" x14ac:dyDescent="0.25">
      <c r="A16" s="417" t="s">
        <v>90</v>
      </c>
      <c r="B16" s="422" t="s">
        <v>20</v>
      </c>
      <c r="C16" s="413">
        <f t="shared" ref="C16:O16" si="4">IFERROR(C15/C8,"na")</f>
        <v>-0.36802633825057557</v>
      </c>
      <c r="D16" s="413">
        <f t="shared" si="4"/>
        <v>-4.3224009846132017</v>
      </c>
      <c r="E16" s="413">
        <f t="shared" si="4"/>
        <v>0.23268082026325521</v>
      </c>
      <c r="F16" s="413">
        <f t="shared" si="4"/>
        <v>3.1819653327982422E-2</v>
      </c>
      <c r="G16" s="413">
        <f t="shared" si="4"/>
        <v>-0.97639392745871401</v>
      </c>
      <c r="H16" s="413">
        <f t="shared" si="4"/>
        <v>-12.847304768508327</v>
      </c>
      <c r="I16" s="413">
        <f t="shared" si="4"/>
        <v>-1.2754623435710064</v>
      </c>
      <c r="J16" s="413">
        <f t="shared" si="4"/>
        <v>-1.5629782829187528</v>
      </c>
      <c r="K16" s="413">
        <f t="shared" si="4"/>
        <v>0.40234101086320712</v>
      </c>
      <c r="L16" s="413">
        <f t="shared" si="4"/>
        <v>0.29145338839261553</v>
      </c>
      <c r="M16" s="413">
        <f t="shared" si="4"/>
        <v>0.32288431641020954</v>
      </c>
      <c r="N16" s="413">
        <f t="shared" si="4"/>
        <v>0.47447627602294568</v>
      </c>
      <c r="O16" s="413">
        <f t="shared" si="4"/>
        <v>-6.6361335200485386E-2</v>
      </c>
      <c r="P16" s="150"/>
      <c r="Q16" s="414" t="s">
        <v>91</v>
      </c>
      <c r="R16" s="150"/>
      <c r="S16" s="423" t="s">
        <v>90</v>
      </c>
      <c r="T16" s="144"/>
      <c r="U16" s="144"/>
    </row>
    <row r="17" spans="1:21" x14ac:dyDescent="0.25">
      <c r="A17" s="417" t="s">
        <v>90</v>
      </c>
      <c r="B17" s="424" t="s">
        <v>24</v>
      </c>
      <c r="C17" s="425">
        <f t="shared" ref="C17:N17" si="5">+C19+C20</f>
        <v>-9873.92</v>
      </c>
      <c r="D17" s="425">
        <f t="shared" si="5"/>
        <v>-25833.75</v>
      </c>
      <c r="E17" s="425">
        <f t="shared" si="5"/>
        <v>-8173.2400000000007</v>
      </c>
      <c r="F17" s="425">
        <f t="shared" si="5"/>
        <v>-7308.4000000000005</v>
      </c>
      <c r="G17" s="425">
        <f t="shared" si="5"/>
        <v>-19884.62</v>
      </c>
      <c r="H17" s="425">
        <f t="shared" si="5"/>
        <v>-35435.896666666667</v>
      </c>
      <c r="I17" s="425">
        <f t="shared" si="5"/>
        <v>-27082.896666666675</v>
      </c>
      <c r="J17" s="425">
        <f t="shared" si="5"/>
        <v>-27082.896666666675</v>
      </c>
      <c r="K17" s="425">
        <f t="shared" si="5"/>
        <v>-27082.896666666675</v>
      </c>
      <c r="L17" s="425">
        <f t="shared" si="5"/>
        <v>-27082.896666666675</v>
      </c>
      <c r="M17" s="425">
        <f t="shared" si="5"/>
        <v>-27082.896666666675</v>
      </c>
      <c r="N17" s="425">
        <f t="shared" si="5"/>
        <v>-28235.896666666675</v>
      </c>
      <c r="O17" s="425">
        <f>+O19+O20</f>
        <v>-270160.20666666678</v>
      </c>
      <c r="P17" s="150"/>
      <c r="Q17" s="426">
        <v>-325025.76</v>
      </c>
      <c r="R17" s="150"/>
      <c r="S17" s="505">
        <f>+O17-Q17</f>
        <v>54865.553333333228</v>
      </c>
      <c r="T17" s="144"/>
      <c r="U17" s="144"/>
    </row>
    <row r="18" spans="1:21" x14ac:dyDescent="0.25">
      <c r="A18" s="155" t="s">
        <v>90</v>
      </c>
      <c r="B18" s="427" t="s">
        <v>20</v>
      </c>
      <c r="C18" s="428">
        <f t="shared" ref="C18:O18" si="6">+IFERROR(C17/C8,"na")</f>
        <v>-0.28911172528248941</v>
      </c>
      <c r="D18" s="428">
        <f t="shared" si="6"/>
        <v>-1.9084822417975988</v>
      </c>
      <c r="E18" s="428">
        <f t="shared" si="6"/>
        <v>-8.1801735150713747E-2</v>
      </c>
      <c r="F18" s="428">
        <f t="shared" si="6"/>
        <v>-6.8558797161025656E-2</v>
      </c>
      <c r="G18" s="428">
        <f t="shared" si="6"/>
        <v>-0.42541035179979714</v>
      </c>
      <c r="H18" s="428">
        <f t="shared" si="6"/>
        <v>-6.0060841807909604</v>
      </c>
      <c r="I18" s="428">
        <f t="shared" si="6"/>
        <v>-0.7543982358402973</v>
      </c>
      <c r="J18" s="428">
        <f t="shared" si="6"/>
        <v>-0.84899362591431582</v>
      </c>
      <c r="K18" s="428">
        <f t="shared" si="6"/>
        <v>-0.19813370887897194</v>
      </c>
      <c r="L18" s="428">
        <f t="shared" si="6"/>
        <v>-0.23489476544837443</v>
      </c>
      <c r="M18" s="428">
        <f t="shared" si="6"/>
        <v>-0.22447489984804539</v>
      </c>
      <c r="N18" s="428">
        <f t="shared" si="6"/>
        <v>-0.18098541565178752</v>
      </c>
      <c r="O18" s="428">
        <f t="shared" si="6"/>
        <v>-0.2990824319048207</v>
      </c>
      <c r="P18" s="150"/>
      <c r="Q18" s="429">
        <v>0</v>
      </c>
      <c r="R18" s="150"/>
      <c r="S18" s="430"/>
      <c r="T18" s="144"/>
      <c r="U18" s="144"/>
    </row>
    <row r="19" spans="1:21" x14ac:dyDescent="0.25">
      <c r="A19" s="155" t="s">
        <v>90</v>
      </c>
      <c r="B19" s="431" t="s">
        <v>25</v>
      </c>
      <c r="C19" s="432">
        <v>0</v>
      </c>
      <c r="D19" s="432">
        <v>-9929</v>
      </c>
      <c r="E19" s="432">
        <v>-815</v>
      </c>
      <c r="F19" s="432">
        <v>-2170.1999999999998</v>
      </c>
      <c r="G19" s="432">
        <v>-2259.6</v>
      </c>
      <c r="H19" s="432">
        <v>-18237.05</v>
      </c>
      <c r="I19" s="432">
        <v>-9884.0500000000011</v>
      </c>
      <c r="J19" s="432">
        <v>-9884.0500000000011</v>
      </c>
      <c r="K19" s="432">
        <v>-9884.0500000000011</v>
      </c>
      <c r="L19" s="432">
        <v>-9884.0500000000011</v>
      </c>
      <c r="M19" s="432">
        <v>-9884.0500000000011</v>
      </c>
      <c r="N19" s="432">
        <v>-9884.0500000000011</v>
      </c>
      <c r="O19" s="433">
        <f>+SUM(C19:N19)</f>
        <v>-92715.150000000009</v>
      </c>
      <c r="P19" s="150"/>
      <c r="Q19" s="432">
        <v>-118608.60000000002</v>
      </c>
      <c r="R19" s="150"/>
      <c r="S19" s="505">
        <f>+O19-Q19</f>
        <v>25893.450000000012</v>
      </c>
      <c r="T19" s="144"/>
      <c r="U19" s="144"/>
    </row>
    <row r="20" spans="1:21" x14ac:dyDescent="0.25">
      <c r="A20" s="434" t="s">
        <v>90</v>
      </c>
      <c r="B20" s="431" t="s">
        <v>26</v>
      </c>
      <c r="C20" s="435">
        <v>-9873.92</v>
      </c>
      <c r="D20" s="435">
        <v>-15904.75</v>
      </c>
      <c r="E20" s="435">
        <v>-7358.2400000000007</v>
      </c>
      <c r="F20" s="435">
        <v>-5138.2000000000007</v>
      </c>
      <c r="G20" s="435">
        <v>-17625.02</v>
      </c>
      <c r="H20" s="435">
        <v>-17198.846666666672</v>
      </c>
      <c r="I20" s="435">
        <v>-17198.846666666672</v>
      </c>
      <c r="J20" s="435">
        <v>-17198.846666666672</v>
      </c>
      <c r="K20" s="435">
        <v>-17198.846666666672</v>
      </c>
      <c r="L20" s="435">
        <v>-17198.846666666672</v>
      </c>
      <c r="M20" s="435">
        <v>-17198.846666666672</v>
      </c>
      <c r="N20" s="435">
        <v>-18351.846666666672</v>
      </c>
      <c r="O20" s="433">
        <f>+SUM(C20:N20)</f>
        <v>-177445.05666666676</v>
      </c>
      <c r="P20" s="150"/>
      <c r="Q20" s="432">
        <v>-206417.16000000012</v>
      </c>
      <c r="R20" s="150"/>
      <c r="S20" s="409">
        <f>+O20-Q20</f>
        <v>28972.103333333362</v>
      </c>
      <c r="T20" s="144"/>
      <c r="U20" s="144"/>
    </row>
    <row r="21" spans="1:21" x14ac:dyDescent="0.25">
      <c r="A21" s="417" t="s">
        <v>90</v>
      </c>
      <c r="B21" s="420" t="s">
        <v>27</v>
      </c>
      <c r="C21" s="421">
        <f t="shared" ref="C21:O21" si="7">+C15+C17</f>
        <v>-22442.979999999989</v>
      </c>
      <c r="D21" s="421">
        <f t="shared" si="7"/>
        <v>-84342.979999999981</v>
      </c>
      <c r="E21" s="421">
        <f t="shared" si="7"/>
        <v>15075.120000000006</v>
      </c>
      <c r="F21" s="421">
        <f t="shared" si="7"/>
        <v>-3916.4100000000099</v>
      </c>
      <c r="G21" s="421">
        <f t="shared" si="7"/>
        <v>-65523.429999999978</v>
      </c>
      <c r="H21" s="421">
        <f t="shared" si="7"/>
        <v>-111234.9948008658</v>
      </c>
      <c r="I21" s="421">
        <f t="shared" si="7"/>
        <v>-72871.994800865796</v>
      </c>
      <c r="J21" s="421">
        <f t="shared" si="7"/>
        <v>-76941.903891774884</v>
      </c>
      <c r="K21" s="421">
        <f t="shared" si="7"/>
        <v>27913.096108225109</v>
      </c>
      <c r="L21" s="421">
        <f t="shared" si="7"/>
        <v>6521.0961082251088</v>
      </c>
      <c r="M21" s="421">
        <f t="shared" si="7"/>
        <v>11873.096108225109</v>
      </c>
      <c r="N21" s="421">
        <f t="shared" si="7"/>
        <v>45788.096108225123</v>
      </c>
      <c r="O21" s="421">
        <f t="shared" si="7"/>
        <v>-330104.18906060595</v>
      </c>
      <c r="P21" s="150"/>
      <c r="Q21" s="421">
        <v>-366723.95942207769</v>
      </c>
      <c r="R21" s="150"/>
      <c r="S21" s="151">
        <f>+O21-Q21</f>
        <v>36619.770361471747</v>
      </c>
      <c r="T21" s="144"/>
      <c r="U21" s="144"/>
    </row>
    <row r="22" spans="1:21" x14ac:dyDescent="0.25">
      <c r="A22" s="417" t="s">
        <v>90</v>
      </c>
      <c r="B22" s="436" t="s">
        <v>20</v>
      </c>
      <c r="C22" s="437">
        <f t="shared" ref="C22:O22" si="8">+IFERROR(C21/C8,"na")</f>
        <v>-0.65713806353306492</v>
      </c>
      <c r="D22" s="437">
        <f t="shared" si="8"/>
        <v>-6.2308832264108007</v>
      </c>
      <c r="E22" s="437">
        <f t="shared" si="8"/>
        <v>0.15087908511254144</v>
      </c>
      <c r="F22" s="437">
        <f t="shared" si="8"/>
        <v>-3.6739143833043227E-2</v>
      </c>
      <c r="G22" s="437">
        <f t="shared" si="8"/>
        <v>-1.401804279258511</v>
      </c>
      <c r="H22" s="437">
        <f t="shared" si="8"/>
        <v>-18.853388949299287</v>
      </c>
      <c r="I22" s="437">
        <f t="shared" si="8"/>
        <v>-2.0298605794113036</v>
      </c>
      <c r="J22" s="437">
        <f t="shared" si="8"/>
        <v>-2.4119719088330687</v>
      </c>
      <c r="K22" s="437">
        <f t="shared" si="8"/>
        <v>0.2042073019842352</v>
      </c>
      <c r="L22" s="437">
        <f t="shared" si="8"/>
        <v>5.6558622944241084E-2</v>
      </c>
      <c r="M22" s="437">
        <f t="shared" si="8"/>
        <v>9.840941656216419E-2</v>
      </c>
      <c r="N22" s="437">
        <f t="shared" si="8"/>
        <v>0.29349086037115812</v>
      </c>
      <c r="O22" s="437">
        <f t="shared" si="8"/>
        <v>-0.36544376710530607</v>
      </c>
      <c r="P22" s="144"/>
      <c r="Q22" s="438" t="s">
        <v>91</v>
      </c>
      <c r="R22" s="144"/>
      <c r="S22" s="439" t="s">
        <v>90</v>
      </c>
      <c r="T22" s="144"/>
      <c r="U22" s="144"/>
    </row>
    <row r="23" spans="1:21" x14ac:dyDescent="0.25">
      <c r="A23" s="156"/>
      <c r="B23" s="440" t="s">
        <v>28</v>
      </c>
      <c r="C23" s="441">
        <v>-4350.75</v>
      </c>
      <c r="D23" s="441">
        <v>-4350.76</v>
      </c>
      <c r="E23" s="441">
        <v>-4350.7299999999996</v>
      </c>
      <c r="F23" s="441">
        <v>-4416.09</v>
      </c>
      <c r="G23" s="441">
        <v>-4416.1400000000003</v>
      </c>
      <c r="H23" s="441">
        <v>-4433.3900000000003</v>
      </c>
      <c r="I23" s="441">
        <v>-4433.3900000000003</v>
      </c>
      <c r="J23" s="441">
        <v>-4433.3900000000003</v>
      </c>
      <c r="K23" s="441">
        <v>-4433.3900000000003</v>
      </c>
      <c r="L23" s="441">
        <v>-4433.3900000000003</v>
      </c>
      <c r="M23" s="441">
        <v>-4433.3900000000003</v>
      </c>
      <c r="N23" s="441">
        <v>-4502.3900000000003</v>
      </c>
      <c r="O23" s="442">
        <f>+SUM(C23:N23)</f>
        <v>-52987.199999999997</v>
      </c>
      <c r="P23" s="144"/>
      <c r="Q23" s="432">
        <v>-48954.600000000006</v>
      </c>
      <c r="R23" s="144"/>
      <c r="S23" s="409">
        <f>+O23-Q23</f>
        <v>-4032.5999999999913</v>
      </c>
      <c r="T23" s="144"/>
      <c r="U23" s="144"/>
    </row>
    <row r="24" spans="1:21" x14ac:dyDescent="0.25">
      <c r="A24" s="443"/>
      <c r="B24" s="444" t="s">
        <v>29</v>
      </c>
      <c r="C24" s="445">
        <f t="shared" ref="C24:O24" si="9">+C21+C23</f>
        <v>-26793.729999999989</v>
      </c>
      <c r="D24" s="445">
        <f t="shared" si="9"/>
        <v>-88693.739999999976</v>
      </c>
      <c r="E24" s="445">
        <f t="shared" si="9"/>
        <v>10724.390000000007</v>
      </c>
      <c r="F24" s="445">
        <f t="shared" si="9"/>
        <v>-8332.5000000000109</v>
      </c>
      <c r="G24" s="445">
        <f t="shared" si="9"/>
        <v>-69939.569999999978</v>
      </c>
      <c r="H24" s="445">
        <f t="shared" si="9"/>
        <v>-115668.3848008658</v>
      </c>
      <c r="I24" s="445">
        <f t="shared" si="9"/>
        <v>-77305.384800865795</v>
      </c>
      <c r="J24" s="445">
        <f t="shared" si="9"/>
        <v>-81375.293891774883</v>
      </c>
      <c r="K24" s="445">
        <f t="shared" si="9"/>
        <v>23479.706108225109</v>
      </c>
      <c r="L24" s="445">
        <f t="shared" si="9"/>
        <v>2087.7061082251084</v>
      </c>
      <c r="M24" s="445">
        <f t="shared" si="9"/>
        <v>7439.7061082251084</v>
      </c>
      <c r="N24" s="445">
        <f t="shared" si="9"/>
        <v>41285.706108225124</v>
      </c>
      <c r="O24" s="445">
        <f t="shared" si="9"/>
        <v>-383091.38906060596</v>
      </c>
      <c r="P24" s="144"/>
      <c r="Q24" s="446">
        <v>-415678.55942207773</v>
      </c>
      <c r="R24" s="144"/>
      <c r="S24" s="151">
        <f>+O24-Q24</f>
        <v>32587.17036147177</v>
      </c>
      <c r="T24" s="144"/>
      <c r="U24" s="144"/>
    </row>
    <row r="25" spans="1:21" x14ac:dyDescent="0.25">
      <c r="A25" s="156"/>
      <c r="B25" s="447" t="s">
        <v>20</v>
      </c>
      <c r="C25" s="448">
        <f t="shared" ref="C25:O25" si="10">+IFERROR(C24/C8,"na")</f>
        <v>-0.78452949862397015</v>
      </c>
      <c r="D25" s="448">
        <f t="shared" si="10"/>
        <v>-6.5522979725596677</v>
      </c>
      <c r="E25" s="448">
        <f t="shared" si="10"/>
        <v>0.10733487704178067</v>
      </c>
      <c r="F25" s="448">
        <f t="shared" si="10"/>
        <v>-7.8165696642801014E-2</v>
      </c>
      <c r="G25" s="448">
        <f t="shared" si="10"/>
        <v>-1.4962829100292856</v>
      </c>
      <c r="H25" s="448">
        <f t="shared" si="10"/>
        <v>-19.604810983197591</v>
      </c>
      <c r="I25" s="448">
        <f t="shared" si="10"/>
        <v>-2.1533533370714708</v>
      </c>
      <c r="J25" s="448">
        <f t="shared" si="10"/>
        <v>-2.5509496517797769</v>
      </c>
      <c r="K25" s="448">
        <f t="shared" si="10"/>
        <v>0.17177340045522796</v>
      </c>
      <c r="L25" s="448">
        <f t="shared" si="10"/>
        <v>1.8107045293284434E-2</v>
      </c>
      <c r="M25" s="448">
        <f t="shared" si="10"/>
        <v>6.1663540059884864E-2</v>
      </c>
      <c r="N25" s="448">
        <f t="shared" si="10"/>
        <v>0.26463160595483121</v>
      </c>
      <c r="O25" s="448">
        <f t="shared" si="10"/>
        <v>-0.4241035557964673</v>
      </c>
      <c r="P25" s="144"/>
      <c r="Q25" s="449">
        <v>-0.61</v>
      </c>
      <c r="R25" s="144"/>
      <c r="S25" s="438" t="s">
        <v>90</v>
      </c>
      <c r="T25" s="144"/>
      <c r="U25" s="144"/>
    </row>
    <row r="26" spans="1:21" x14ac:dyDescent="0.25">
      <c r="A26" s="156"/>
      <c r="B26" s="431" t="s">
        <v>30</v>
      </c>
      <c r="C26" s="450">
        <v>-158.05999999999995</v>
      </c>
      <c r="D26" s="450">
        <v>-140.57000000000005</v>
      </c>
      <c r="E26" s="450">
        <v>-293.10000000000002</v>
      </c>
      <c r="F26" s="450">
        <v>-405.05000000000007</v>
      </c>
      <c r="G26" s="450">
        <v>-560.1</v>
      </c>
      <c r="H26" s="450">
        <v>-298.93333333333334</v>
      </c>
      <c r="I26" s="450">
        <v>-298.93333333333334</v>
      </c>
      <c r="J26" s="450">
        <v>-298.93333333333334</v>
      </c>
      <c r="K26" s="450">
        <v>-298.93333333333334</v>
      </c>
      <c r="L26" s="450">
        <v>-298.93333333333334</v>
      </c>
      <c r="M26" s="450">
        <v>-298.93333333333334</v>
      </c>
      <c r="N26" s="450">
        <v>-321.93333333333334</v>
      </c>
      <c r="O26" s="442">
        <f>+SUM(C26:N26)</f>
        <v>-3672.4133333333339</v>
      </c>
      <c r="P26" s="144"/>
      <c r="Q26" s="432">
        <v>-869.99999999999989</v>
      </c>
      <c r="R26" s="144"/>
      <c r="S26" s="409">
        <f>+O26-Q26</f>
        <v>-2802.4133333333339</v>
      </c>
      <c r="T26" s="144"/>
      <c r="U26" s="144"/>
    </row>
    <row r="27" spans="1:21" x14ac:dyDescent="0.25">
      <c r="A27" s="156"/>
      <c r="B27" s="431" t="s">
        <v>31</v>
      </c>
      <c r="C27" s="451">
        <v>-45.34</v>
      </c>
      <c r="D27" s="451">
        <v>-45.34</v>
      </c>
      <c r="E27" s="451">
        <v>-45.34</v>
      </c>
      <c r="F27" s="451">
        <v>-45.34</v>
      </c>
      <c r="G27" s="451">
        <v>-45.34</v>
      </c>
      <c r="H27" s="451">
        <v>-45</v>
      </c>
      <c r="I27" s="451">
        <v>-45</v>
      </c>
      <c r="J27" s="451">
        <v>-45</v>
      </c>
      <c r="K27" s="451">
        <v>-45</v>
      </c>
      <c r="L27" s="451">
        <v>-45</v>
      </c>
      <c r="M27" s="451">
        <v>-45</v>
      </c>
      <c r="N27" s="451">
        <v>-45</v>
      </c>
      <c r="O27" s="442">
        <f>+SUM(C27:N27)</f>
        <v>-541.70000000000005</v>
      </c>
      <c r="P27" s="144"/>
      <c r="Q27" s="443">
        <v>-540</v>
      </c>
      <c r="R27" s="144"/>
      <c r="S27" s="409">
        <f>+O27-Q27</f>
        <v>-1.7000000000000455</v>
      </c>
      <c r="T27" s="144"/>
      <c r="U27" s="144"/>
    </row>
    <row r="28" spans="1:21" x14ac:dyDescent="0.25">
      <c r="A28" s="156"/>
      <c r="B28" s="452" t="s">
        <v>32</v>
      </c>
      <c r="C28" s="453">
        <f t="shared" ref="C28:O28" si="11">+C24+C26+C27</f>
        <v>-26997.12999999999</v>
      </c>
      <c r="D28" s="453">
        <f t="shared" si="11"/>
        <v>-88879.64999999998</v>
      </c>
      <c r="E28" s="453">
        <f t="shared" si="11"/>
        <v>10385.950000000006</v>
      </c>
      <c r="F28" s="453">
        <f t="shared" si="11"/>
        <v>-8782.8900000000103</v>
      </c>
      <c r="G28" s="453">
        <f t="shared" si="11"/>
        <v>-70545.00999999998</v>
      </c>
      <c r="H28" s="453">
        <f t="shared" si="11"/>
        <v>-116012.31813419913</v>
      </c>
      <c r="I28" s="453">
        <f t="shared" si="11"/>
        <v>-77649.318134199129</v>
      </c>
      <c r="J28" s="453">
        <f t="shared" si="11"/>
        <v>-81719.227225108218</v>
      </c>
      <c r="K28" s="453">
        <f t="shared" si="11"/>
        <v>23135.772774891775</v>
      </c>
      <c r="L28" s="453">
        <f t="shared" si="11"/>
        <v>1743.772774891775</v>
      </c>
      <c r="M28" s="453">
        <f t="shared" si="11"/>
        <v>7095.772774891775</v>
      </c>
      <c r="N28" s="453">
        <f t="shared" si="11"/>
        <v>40918.77277489179</v>
      </c>
      <c r="O28" s="453">
        <f t="shared" si="11"/>
        <v>-387305.5023939393</v>
      </c>
      <c r="P28" s="144"/>
      <c r="Q28" s="421">
        <v>-417088.55942207773</v>
      </c>
      <c r="R28" s="144"/>
      <c r="S28" s="151">
        <f>+O28-Q28</f>
        <v>29783.057028138428</v>
      </c>
      <c r="T28" s="144"/>
      <c r="U28" s="144"/>
    </row>
    <row r="29" spans="1:21" x14ac:dyDescent="0.25">
      <c r="A29" s="454" t="s">
        <v>90</v>
      </c>
      <c r="B29" s="431" t="s">
        <v>90</v>
      </c>
      <c r="C29" s="455" t="s">
        <v>90</v>
      </c>
      <c r="D29" s="455" t="s">
        <v>90</v>
      </c>
      <c r="E29" s="455" t="s">
        <v>90</v>
      </c>
      <c r="F29" s="455" t="s">
        <v>90</v>
      </c>
      <c r="G29" s="455" t="s">
        <v>90</v>
      </c>
      <c r="H29" s="455" t="s">
        <v>90</v>
      </c>
      <c r="I29" s="455" t="s">
        <v>90</v>
      </c>
      <c r="J29" s="455" t="s">
        <v>90</v>
      </c>
      <c r="K29" s="455" t="s">
        <v>90</v>
      </c>
      <c r="L29" s="455" t="s">
        <v>90</v>
      </c>
      <c r="M29" s="157" t="s">
        <v>90</v>
      </c>
      <c r="N29" s="157" t="s">
        <v>90</v>
      </c>
      <c r="O29" s="157" t="s">
        <v>90</v>
      </c>
      <c r="P29" s="144"/>
      <c r="Q29" s="158" t="s">
        <v>90</v>
      </c>
      <c r="R29" s="144"/>
      <c r="S29" s="158" t="s">
        <v>90</v>
      </c>
      <c r="T29" s="144"/>
      <c r="U29" s="144"/>
    </row>
    <row r="30" spans="1:21" x14ac:dyDescent="0.25">
      <c r="A30" s="456"/>
      <c r="B30" s="431"/>
      <c r="C30" s="146" t="s">
        <v>49</v>
      </c>
      <c r="D30" s="146" t="s">
        <v>49</v>
      </c>
      <c r="E30" s="146" t="s">
        <v>49</v>
      </c>
      <c r="F30" s="147" t="s">
        <v>50</v>
      </c>
      <c r="G30" s="147" t="s">
        <v>51</v>
      </c>
      <c r="H30" s="147" t="s">
        <v>51</v>
      </c>
      <c r="I30" s="147" t="s">
        <v>51</v>
      </c>
      <c r="J30" s="147" t="s">
        <v>51</v>
      </c>
      <c r="K30" s="147" t="s">
        <v>51</v>
      </c>
      <c r="L30" s="147" t="s">
        <v>51</v>
      </c>
      <c r="M30" s="147" t="s">
        <v>51</v>
      </c>
      <c r="N30" s="147" t="s">
        <v>51</v>
      </c>
      <c r="O30" s="159"/>
      <c r="P30" s="144"/>
      <c r="Q30" s="160" t="s">
        <v>1</v>
      </c>
      <c r="R30" s="144"/>
      <c r="S30" s="159"/>
      <c r="T30" s="144"/>
      <c r="U30" s="144"/>
    </row>
    <row r="31" spans="1:21" x14ac:dyDescent="0.25">
      <c r="A31" s="456"/>
      <c r="B31" s="521" t="s">
        <v>33</v>
      </c>
      <c r="C31" s="148">
        <v>2026</v>
      </c>
      <c r="D31" s="148">
        <v>2026</v>
      </c>
      <c r="E31" s="148">
        <v>2026</v>
      </c>
      <c r="F31" s="148">
        <v>2026</v>
      </c>
      <c r="G31" s="148">
        <v>2026</v>
      </c>
      <c r="H31" s="148">
        <v>2026</v>
      </c>
      <c r="I31" s="148">
        <v>2026</v>
      </c>
      <c r="J31" s="148">
        <v>2026</v>
      </c>
      <c r="K31" s="148">
        <v>2026</v>
      </c>
      <c r="L31" s="148">
        <v>2026</v>
      </c>
      <c r="M31" s="148">
        <v>2026</v>
      </c>
      <c r="N31" s="161">
        <v>2026</v>
      </c>
      <c r="O31" s="162" t="s">
        <v>90</v>
      </c>
      <c r="P31" s="144"/>
      <c r="Q31" s="163">
        <v>2026</v>
      </c>
      <c r="R31" s="144"/>
      <c r="S31" s="144"/>
      <c r="T31" s="144"/>
      <c r="U31" s="144"/>
    </row>
    <row r="32" spans="1:21" x14ac:dyDescent="0.25">
      <c r="A32" s="156"/>
      <c r="B32" s="522"/>
      <c r="C32" s="164" t="s">
        <v>3</v>
      </c>
      <c r="D32" s="164" t="s">
        <v>4</v>
      </c>
      <c r="E32" s="164" t="s">
        <v>5</v>
      </c>
      <c r="F32" s="164" t="s">
        <v>6</v>
      </c>
      <c r="G32" s="164" t="s">
        <v>7</v>
      </c>
      <c r="H32" s="164" t="s">
        <v>8</v>
      </c>
      <c r="I32" s="164" t="s">
        <v>9</v>
      </c>
      <c r="J32" s="164" t="s">
        <v>10</v>
      </c>
      <c r="K32" s="164" t="s">
        <v>11</v>
      </c>
      <c r="L32" s="164" t="s">
        <v>12</v>
      </c>
      <c r="M32" s="164" t="s">
        <v>13</v>
      </c>
      <c r="N32" s="165" t="s">
        <v>14</v>
      </c>
      <c r="O32" s="166" t="s">
        <v>90</v>
      </c>
      <c r="P32" s="144"/>
      <c r="Q32" s="167" t="s">
        <v>15</v>
      </c>
      <c r="R32" s="144"/>
      <c r="S32" s="144"/>
      <c r="T32" s="144"/>
      <c r="U32" s="144"/>
    </row>
    <row r="33" spans="1:21" x14ac:dyDescent="0.25">
      <c r="A33" s="156"/>
      <c r="B33" s="457" t="s">
        <v>34</v>
      </c>
      <c r="C33" s="458">
        <v>0</v>
      </c>
      <c r="D33" s="458">
        <v>0</v>
      </c>
      <c r="E33" s="458">
        <v>0</v>
      </c>
      <c r="F33" s="458">
        <v>0</v>
      </c>
      <c r="G33" s="458">
        <v>0</v>
      </c>
      <c r="H33" s="458">
        <v>0</v>
      </c>
      <c r="I33" s="458">
        <v>0</v>
      </c>
      <c r="J33" s="458">
        <v>0</v>
      </c>
      <c r="K33" s="458">
        <v>0</v>
      </c>
      <c r="L33" s="458">
        <v>0</v>
      </c>
      <c r="M33" s="458">
        <v>0</v>
      </c>
      <c r="N33" s="458">
        <v>0</v>
      </c>
      <c r="O33" s="459" t="s">
        <v>90</v>
      </c>
      <c r="P33" s="144"/>
      <c r="Q33" s="460" t="s">
        <v>90</v>
      </c>
      <c r="R33" s="144"/>
      <c r="S33" s="144"/>
      <c r="T33" s="144"/>
      <c r="U33" s="144"/>
    </row>
    <row r="34" spans="1:21" x14ac:dyDescent="0.25">
      <c r="A34" s="156"/>
      <c r="B34" s="461" t="s">
        <v>35</v>
      </c>
      <c r="C34" s="387"/>
      <c r="D34" s="387"/>
      <c r="E34" s="387"/>
      <c r="F34" s="387"/>
      <c r="G34" s="387"/>
      <c r="H34" s="387"/>
      <c r="I34" s="387"/>
      <c r="J34" s="387"/>
      <c r="K34" s="387"/>
      <c r="L34" s="387"/>
      <c r="M34" s="387"/>
      <c r="N34" s="387"/>
      <c r="O34" s="459" t="s">
        <v>90</v>
      </c>
      <c r="P34" s="144"/>
      <c r="Q34" s="462" t="s">
        <v>90</v>
      </c>
      <c r="R34" s="144"/>
      <c r="S34" s="144"/>
      <c r="T34" s="144"/>
      <c r="U34" s="144"/>
    </row>
    <row r="35" spans="1:21" x14ac:dyDescent="0.25">
      <c r="A35" s="156"/>
      <c r="B35" s="461" t="s">
        <v>36</v>
      </c>
      <c r="C35" s="463" t="s">
        <v>90</v>
      </c>
      <c r="D35" s="463" t="s">
        <v>90</v>
      </c>
      <c r="E35" s="463" t="s">
        <v>90</v>
      </c>
      <c r="F35" s="463" t="s">
        <v>90</v>
      </c>
      <c r="G35" s="463" t="s">
        <v>90</v>
      </c>
      <c r="H35" s="463" t="s">
        <v>90</v>
      </c>
      <c r="I35" s="463" t="s">
        <v>90</v>
      </c>
      <c r="J35" s="463" t="s">
        <v>90</v>
      </c>
      <c r="K35" s="463" t="s">
        <v>90</v>
      </c>
      <c r="L35" s="463" t="s">
        <v>90</v>
      </c>
      <c r="M35" s="463" t="s">
        <v>90</v>
      </c>
      <c r="N35" s="463" t="s">
        <v>90</v>
      </c>
      <c r="O35" s="459" t="s">
        <v>90</v>
      </c>
      <c r="P35" s="144"/>
      <c r="Q35" s="464" t="s">
        <v>90</v>
      </c>
      <c r="R35" s="144"/>
      <c r="S35" s="144"/>
      <c r="T35" s="144"/>
      <c r="U35" s="144"/>
    </row>
    <row r="36" spans="1:21" x14ac:dyDescent="0.25">
      <c r="A36" s="156"/>
      <c r="B36" s="465" t="s">
        <v>37</v>
      </c>
      <c r="C36" s="466" t="s">
        <v>90</v>
      </c>
      <c r="D36" s="466" t="s">
        <v>90</v>
      </c>
      <c r="E36" s="466" t="s">
        <v>90</v>
      </c>
      <c r="F36" s="466" t="s">
        <v>90</v>
      </c>
      <c r="G36" s="466" t="s">
        <v>90</v>
      </c>
      <c r="H36" s="466" t="s">
        <v>90</v>
      </c>
      <c r="I36" s="466" t="s">
        <v>90</v>
      </c>
      <c r="J36" s="466" t="s">
        <v>90</v>
      </c>
      <c r="K36" s="466" t="s">
        <v>90</v>
      </c>
      <c r="L36" s="466" t="s">
        <v>90</v>
      </c>
      <c r="M36" s="466" t="s">
        <v>90</v>
      </c>
      <c r="N36" s="466" t="s">
        <v>90</v>
      </c>
      <c r="O36" s="459" t="s">
        <v>90</v>
      </c>
      <c r="P36" s="144"/>
      <c r="Q36" s="462" t="s">
        <v>90</v>
      </c>
      <c r="R36" s="144"/>
      <c r="S36" s="144"/>
      <c r="T36" s="144"/>
      <c r="U36" s="144"/>
    </row>
    <row r="37" spans="1:21" x14ac:dyDescent="0.25">
      <c r="A37" s="156"/>
      <c r="B37" s="467" t="s">
        <v>38</v>
      </c>
      <c r="C37" s="468">
        <v>0</v>
      </c>
      <c r="D37" s="468">
        <v>0</v>
      </c>
      <c r="E37" s="468">
        <v>0</v>
      </c>
      <c r="F37" s="468">
        <v>0</v>
      </c>
      <c r="G37" s="468">
        <v>0</v>
      </c>
      <c r="H37" s="468">
        <v>0</v>
      </c>
      <c r="I37" s="468">
        <v>0</v>
      </c>
      <c r="J37" s="468">
        <v>0</v>
      </c>
      <c r="K37" s="468">
        <v>0</v>
      </c>
      <c r="L37" s="468">
        <v>0</v>
      </c>
      <c r="M37" s="468">
        <v>0</v>
      </c>
      <c r="N37" s="469">
        <v>0</v>
      </c>
      <c r="O37" s="459" t="s">
        <v>90</v>
      </c>
      <c r="P37" s="144"/>
      <c r="Q37" s="460" t="s">
        <v>90</v>
      </c>
      <c r="R37" s="144"/>
      <c r="S37" s="144"/>
      <c r="T37" s="144"/>
      <c r="U37" s="144"/>
    </row>
    <row r="38" spans="1:21" x14ac:dyDescent="0.25">
      <c r="A38" s="156"/>
      <c r="B38" s="470" t="s">
        <v>39</v>
      </c>
      <c r="C38" s="443"/>
      <c r="D38" s="443"/>
      <c r="E38" s="443"/>
      <c r="F38" s="443"/>
      <c r="G38" s="443"/>
      <c r="H38" s="443"/>
      <c r="I38" s="443"/>
      <c r="J38" s="443"/>
      <c r="K38" s="443"/>
      <c r="L38" s="443"/>
      <c r="M38" s="443"/>
      <c r="N38" s="443"/>
      <c r="O38" s="405" t="s">
        <v>90</v>
      </c>
      <c r="P38" s="144"/>
      <c r="Q38" s="471" t="s">
        <v>90</v>
      </c>
      <c r="R38" s="144"/>
      <c r="S38" s="144"/>
      <c r="T38" s="144"/>
      <c r="U38" s="144"/>
    </row>
    <row r="39" spans="1:21" x14ac:dyDescent="0.25">
      <c r="A39" s="156"/>
      <c r="B39" s="470" t="s">
        <v>40</v>
      </c>
      <c r="C39" s="443"/>
      <c r="D39" s="405" t="s">
        <v>90</v>
      </c>
      <c r="E39" s="405" t="s">
        <v>90</v>
      </c>
      <c r="F39" s="443"/>
      <c r="G39" s="443"/>
      <c r="H39" s="443"/>
      <c r="I39" s="443"/>
      <c r="J39" s="443"/>
      <c r="K39" s="443"/>
      <c r="L39" s="443"/>
      <c r="M39" s="443"/>
      <c r="N39" s="443"/>
      <c r="O39" s="405" t="s">
        <v>90</v>
      </c>
      <c r="P39" s="144"/>
      <c r="Q39" s="471" t="s">
        <v>90</v>
      </c>
      <c r="R39" s="144"/>
      <c r="S39" s="144"/>
      <c r="T39" s="144"/>
      <c r="U39" s="144"/>
    </row>
    <row r="40" spans="1:21" x14ac:dyDescent="0.25">
      <c r="A40" s="456"/>
      <c r="B40" s="470" t="s">
        <v>41</v>
      </c>
      <c r="C40" s="443"/>
      <c r="D40" s="443"/>
      <c r="E40" s="443"/>
      <c r="F40" s="443"/>
      <c r="G40" s="443"/>
      <c r="H40" s="443"/>
      <c r="I40" s="443"/>
      <c r="J40" s="443"/>
      <c r="K40" s="443"/>
      <c r="L40" s="443"/>
      <c r="M40" s="443"/>
      <c r="N40" s="443"/>
      <c r="O40" s="405" t="s">
        <v>90</v>
      </c>
      <c r="P40" s="144"/>
      <c r="Q40" s="471" t="s">
        <v>90</v>
      </c>
      <c r="R40" s="144"/>
      <c r="S40" s="144"/>
      <c r="T40" s="144"/>
      <c r="U40" s="144"/>
    </row>
    <row r="41" spans="1:21" x14ac:dyDescent="0.25">
      <c r="A41" s="454" t="s">
        <v>90</v>
      </c>
      <c r="B41" s="470" t="s">
        <v>42</v>
      </c>
      <c r="C41" s="443"/>
      <c r="D41" s="443"/>
      <c r="E41" s="443"/>
      <c r="F41" s="443"/>
      <c r="G41" s="443"/>
      <c r="H41" s="443"/>
      <c r="I41" s="443"/>
      <c r="J41" s="443"/>
      <c r="K41" s="443"/>
      <c r="L41" s="443"/>
      <c r="M41" s="443"/>
      <c r="N41" s="443"/>
      <c r="O41" s="405" t="s">
        <v>90</v>
      </c>
      <c r="P41" s="144"/>
      <c r="Q41" s="471" t="s">
        <v>90</v>
      </c>
      <c r="R41" s="144"/>
      <c r="S41" s="144"/>
      <c r="T41" s="144"/>
      <c r="U41" s="144"/>
    </row>
    <row r="42" spans="1:21" x14ac:dyDescent="0.25">
      <c r="A42" s="456"/>
      <c r="B42" s="472" t="s">
        <v>43</v>
      </c>
      <c r="C42" s="459" t="s">
        <v>90</v>
      </c>
      <c r="D42" s="459" t="s">
        <v>90</v>
      </c>
      <c r="E42" s="459" t="s">
        <v>90</v>
      </c>
      <c r="F42" s="459" t="s">
        <v>90</v>
      </c>
      <c r="G42" s="459" t="s">
        <v>90</v>
      </c>
      <c r="H42" s="459" t="s">
        <v>90</v>
      </c>
      <c r="I42" s="459" t="s">
        <v>90</v>
      </c>
      <c r="J42" s="459" t="s">
        <v>90</v>
      </c>
      <c r="K42" s="459" t="s">
        <v>90</v>
      </c>
      <c r="L42" s="459" t="s">
        <v>90</v>
      </c>
      <c r="M42" s="459" t="s">
        <v>90</v>
      </c>
      <c r="N42" s="459" t="s">
        <v>90</v>
      </c>
      <c r="O42" s="459" t="s">
        <v>90</v>
      </c>
      <c r="P42" s="144"/>
      <c r="Q42" s="473" t="s">
        <v>90</v>
      </c>
      <c r="R42" s="144"/>
      <c r="S42" s="144"/>
      <c r="T42" s="144"/>
      <c r="U42" s="144"/>
    </row>
    <row r="43" spans="1:21" x14ac:dyDescent="0.25">
      <c r="A43" s="456"/>
      <c r="B43" s="467" t="s">
        <v>44</v>
      </c>
      <c r="C43" s="474">
        <v>0</v>
      </c>
      <c r="D43" s="475">
        <v>0</v>
      </c>
      <c r="E43" s="475">
        <v>0</v>
      </c>
      <c r="F43" s="475">
        <v>0</v>
      </c>
      <c r="G43" s="475">
        <v>0</v>
      </c>
      <c r="H43" s="475">
        <v>0</v>
      </c>
      <c r="I43" s="475">
        <v>0</v>
      </c>
      <c r="J43" s="475">
        <v>0</v>
      </c>
      <c r="K43" s="475">
        <v>0</v>
      </c>
      <c r="L43" s="475">
        <v>0</v>
      </c>
      <c r="M43" s="475">
        <v>0</v>
      </c>
      <c r="N43" s="476">
        <v>0</v>
      </c>
      <c r="O43" s="459" t="s">
        <v>90</v>
      </c>
      <c r="P43" s="144"/>
      <c r="Q43" s="477">
        <v>0</v>
      </c>
      <c r="R43" s="144"/>
      <c r="S43" s="144"/>
      <c r="T43" s="144"/>
      <c r="U43" s="144"/>
    </row>
    <row r="44" spans="1:21" x14ac:dyDescent="0.25">
      <c r="A44" s="443"/>
      <c r="B44" s="478" t="s">
        <v>45</v>
      </c>
      <c r="C44" s="479" t="s">
        <v>90</v>
      </c>
      <c r="D44" s="443"/>
      <c r="E44" s="443"/>
      <c r="F44" s="443"/>
      <c r="G44" s="443"/>
      <c r="H44" s="443"/>
      <c r="I44" s="443"/>
      <c r="J44" s="443"/>
      <c r="K44" s="443"/>
      <c r="L44" s="443"/>
      <c r="M44" s="443"/>
      <c r="N44" s="443"/>
      <c r="O44" s="405" t="s">
        <v>90</v>
      </c>
      <c r="P44" s="168"/>
      <c r="Q44" s="471" t="s">
        <v>90</v>
      </c>
      <c r="R44" s="168"/>
      <c r="S44" s="144"/>
      <c r="T44" s="144"/>
      <c r="U44" s="168"/>
    </row>
    <row r="45" spans="1:21" x14ac:dyDescent="0.25">
      <c r="A45" s="144"/>
      <c r="B45" s="480" t="s">
        <v>46</v>
      </c>
      <c r="C45" s="481">
        <v>0</v>
      </c>
      <c r="D45" s="468">
        <v>0</v>
      </c>
      <c r="E45" s="468">
        <v>0</v>
      </c>
      <c r="F45" s="468">
        <v>0</v>
      </c>
      <c r="G45" s="468">
        <v>0</v>
      </c>
      <c r="H45" s="468">
        <v>0</v>
      </c>
      <c r="I45" s="468">
        <v>0</v>
      </c>
      <c r="J45" s="468">
        <v>0</v>
      </c>
      <c r="K45" s="468">
        <v>0</v>
      </c>
      <c r="L45" s="468">
        <v>0</v>
      </c>
      <c r="M45" s="468">
        <v>0</v>
      </c>
      <c r="N45" s="468">
        <v>0</v>
      </c>
      <c r="O45" s="459" t="s">
        <v>90</v>
      </c>
      <c r="P45" s="144"/>
      <c r="Q45" s="482">
        <v>0</v>
      </c>
      <c r="R45" s="144"/>
      <c r="S45" s="144"/>
      <c r="T45" s="144"/>
      <c r="U45" s="144"/>
    </row>
    <row r="46" spans="1:21" x14ac:dyDescent="0.25">
      <c r="A46" s="153" t="s">
        <v>90</v>
      </c>
      <c r="B46" s="440" t="s">
        <v>90</v>
      </c>
      <c r="C46" s="459"/>
      <c r="D46" s="459"/>
      <c r="E46" s="459"/>
      <c r="F46" s="459" t="s">
        <v>90</v>
      </c>
      <c r="G46" s="459" t="s">
        <v>90</v>
      </c>
      <c r="H46" s="459" t="s">
        <v>90</v>
      </c>
      <c r="I46" s="459" t="s">
        <v>90</v>
      </c>
      <c r="J46" s="459" t="s">
        <v>90</v>
      </c>
      <c r="K46" s="459" t="s">
        <v>90</v>
      </c>
      <c r="L46" s="459" t="s">
        <v>90</v>
      </c>
      <c r="M46" s="459" t="s">
        <v>90</v>
      </c>
      <c r="N46" s="459" t="s">
        <v>90</v>
      </c>
      <c r="O46" s="459" t="s">
        <v>90</v>
      </c>
      <c r="P46" s="153" t="s">
        <v>90</v>
      </c>
      <c r="Q46" s="459" t="s">
        <v>90</v>
      </c>
      <c r="R46" s="153" t="s">
        <v>90</v>
      </c>
      <c r="S46" s="153" t="s">
        <v>90</v>
      </c>
      <c r="T46" s="153" t="s">
        <v>90</v>
      </c>
      <c r="U46" s="153" t="s">
        <v>90</v>
      </c>
    </row>
    <row r="47" spans="1:21" x14ac:dyDescent="0.25">
      <c r="A47" s="153" t="s">
        <v>90</v>
      </c>
      <c r="B47" s="440" t="s">
        <v>90</v>
      </c>
      <c r="C47" s="459" t="s">
        <v>90</v>
      </c>
      <c r="D47" s="459" t="s">
        <v>90</v>
      </c>
      <c r="E47" s="459" t="s">
        <v>90</v>
      </c>
      <c r="F47" s="459" t="s">
        <v>90</v>
      </c>
      <c r="G47" s="459" t="s">
        <v>90</v>
      </c>
      <c r="H47" s="459" t="s">
        <v>90</v>
      </c>
      <c r="I47" s="459" t="s">
        <v>90</v>
      </c>
      <c r="J47" s="459" t="s">
        <v>90</v>
      </c>
      <c r="K47" s="459" t="s">
        <v>90</v>
      </c>
      <c r="L47" s="459" t="s">
        <v>90</v>
      </c>
      <c r="M47" s="459" t="s">
        <v>90</v>
      </c>
      <c r="N47" s="459" t="s">
        <v>90</v>
      </c>
      <c r="O47" s="459" t="s">
        <v>90</v>
      </c>
      <c r="P47" s="153" t="s">
        <v>90</v>
      </c>
      <c r="Q47" s="459" t="s">
        <v>90</v>
      </c>
      <c r="R47" s="153" t="s">
        <v>90</v>
      </c>
      <c r="S47" s="153" t="s">
        <v>90</v>
      </c>
      <c r="T47" s="153" t="s">
        <v>90</v>
      </c>
      <c r="U47" s="153" t="s">
        <v>90</v>
      </c>
    </row>
    <row r="48" spans="1:21" x14ac:dyDescent="0.25">
      <c r="A48" s="153" t="s">
        <v>90</v>
      </c>
      <c r="B48" s="483" t="s">
        <v>90</v>
      </c>
      <c r="C48" s="146" t="s">
        <v>49</v>
      </c>
      <c r="D48" s="146" t="s">
        <v>49</v>
      </c>
      <c r="E48" s="146" t="s">
        <v>49</v>
      </c>
      <c r="F48" s="146" t="s">
        <v>49</v>
      </c>
      <c r="G48" s="146" t="s">
        <v>49</v>
      </c>
      <c r="H48" s="147" t="s">
        <v>51</v>
      </c>
      <c r="I48" s="147" t="s">
        <v>51</v>
      </c>
      <c r="J48" s="147" t="s">
        <v>51</v>
      </c>
      <c r="K48" s="147" t="s">
        <v>51</v>
      </c>
      <c r="L48" s="147" t="s">
        <v>51</v>
      </c>
      <c r="M48" s="147" t="s">
        <v>51</v>
      </c>
      <c r="N48" s="147" t="s">
        <v>51</v>
      </c>
      <c r="O48" s="380" t="s">
        <v>67</v>
      </c>
      <c r="P48" s="381"/>
      <c r="Q48" s="382" t="s">
        <v>1</v>
      </c>
      <c r="R48" s="153" t="s">
        <v>90</v>
      </c>
      <c r="S48" s="153" t="s">
        <v>90</v>
      </c>
      <c r="T48" s="153" t="s">
        <v>90</v>
      </c>
      <c r="U48" s="153" t="s">
        <v>90</v>
      </c>
    </row>
    <row r="49" spans="1:21" x14ac:dyDescent="0.25">
      <c r="A49" s="456"/>
      <c r="B49" s="521" t="s">
        <v>55</v>
      </c>
      <c r="C49" s="148">
        <v>2026</v>
      </c>
      <c r="D49" s="148">
        <v>2026</v>
      </c>
      <c r="E49" s="148">
        <v>2026</v>
      </c>
      <c r="F49" s="148">
        <v>2026</v>
      </c>
      <c r="G49" s="148">
        <v>2026</v>
      </c>
      <c r="H49" s="148">
        <v>2026</v>
      </c>
      <c r="I49" s="148">
        <v>2026</v>
      </c>
      <c r="J49" s="148">
        <v>2026</v>
      </c>
      <c r="K49" s="148">
        <v>2026</v>
      </c>
      <c r="L49" s="148">
        <v>2026</v>
      </c>
      <c r="M49" s="148">
        <v>2026</v>
      </c>
      <c r="N49" s="161">
        <v>2026</v>
      </c>
      <c r="O49" s="376">
        <v>2026</v>
      </c>
      <c r="P49" s="371"/>
      <c r="Q49" s="384">
        <v>2026</v>
      </c>
      <c r="R49" s="144"/>
      <c r="S49" s="144"/>
      <c r="T49" s="144"/>
      <c r="U49" s="144"/>
    </row>
    <row r="50" spans="1:21" x14ac:dyDescent="0.25">
      <c r="A50" s="156"/>
      <c r="B50" s="522"/>
      <c r="C50" s="164" t="s">
        <v>3</v>
      </c>
      <c r="D50" s="164" t="s">
        <v>4</v>
      </c>
      <c r="E50" s="164" t="s">
        <v>5</v>
      </c>
      <c r="F50" s="164" t="s">
        <v>6</v>
      </c>
      <c r="G50" s="164" t="s">
        <v>7</v>
      </c>
      <c r="H50" s="164" t="s">
        <v>8</v>
      </c>
      <c r="I50" s="164" t="s">
        <v>9</v>
      </c>
      <c r="J50" s="164" t="s">
        <v>10</v>
      </c>
      <c r="K50" s="164" t="s">
        <v>11</v>
      </c>
      <c r="L50" s="164" t="s">
        <v>12</v>
      </c>
      <c r="M50" s="164" t="s">
        <v>13</v>
      </c>
      <c r="N50" s="165" t="s">
        <v>14</v>
      </c>
      <c r="O50" s="370" t="s">
        <v>15</v>
      </c>
      <c r="P50" s="371"/>
      <c r="Q50" s="385" t="s">
        <v>15</v>
      </c>
      <c r="R50" s="144"/>
      <c r="S50" s="144"/>
      <c r="T50" s="144"/>
      <c r="U50" s="144"/>
    </row>
    <row r="51" spans="1:21" x14ac:dyDescent="0.25">
      <c r="A51" s="144"/>
      <c r="B51" s="218" t="s">
        <v>92</v>
      </c>
      <c r="C51" s="484">
        <v>392.51</v>
      </c>
      <c r="D51" s="484">
        <v>680.44</v>
      </c>
      <c r="E51" s="484">
        <v>774</v>
      </c>
      <c r="F51" s="484">
        <v>750.79</v>
      </c>
      <c r="G51" s="386">
        <v>1051.1199999999999</v>
      </c>
      <c r="H51" s="484">
        <v>600</v>
      </c>
      <c r="I51" s="484">
        <v>1200</v>
      </c>
      <c r="J51" s="484">
        <v>1200</v>
      </c>
      <c r="K51" s="484">
        <v>1200</v>
      </c>
      <c r="L51" s="484">
        <v>1200</v>
      </c>
      <c r="M51" s="484">
        <v>1200</v>
      </c>
      <c r="N51" s="484">
        <v>1200</v>
      </c>
      <c r="O51" s="484">
        <f>SUM(C51:N51)</f>
        <v>11448.86</v>
      </c>
      <c r="P51" s="144"/>
      <c r="Q51" s="484">
        <v>10800</v>
      </c>
      <c r="R51" s="144"/>
      <c r="S51" s="144"/>
      <c r="T51" s="144"/>
      <c r="U51" s="144"/>
    </row>
    <row r="52" spans="1:21" x14ac:dyDescent="0.25">
      <c r="A52" s="144"/>
      <c r="B52" s="400" t="s">
        <v>17</v>
      </c>
      <c r="C52" s="401" t="str">
        <f t="shared" ref="C52" si="12">IFERROR((C51/B51)-1,"na")</f>
        <v>na</v>
      </c>
      <c r="D52" s="401">
        <f t="shared" ref="D52" si="13">IFERROR((D51/C51)-1,"na")</f>
        <v>0.73356092838399034</v>
      </c>
      <c r="E52" s="401">
        <f t="shared" ref="E52" si="14">IFERROR((E51/D51)-1,"na")</f>
        <v>0.13749926518135314</v>
      </c>
      <c r="F52" s="401">
        <f t="shared" ref="F52" si="15">IFERROR((F51/E51)-1,"na")</f>
        <v>-2.9987080103359265E-2</v>
      </c>
      <c r="G52" s="401">
        <f t="shared" ref="G52" si="16">IFERROR((G51/F51)-1,"na")</f>
        <v>0.40001864702513346</v>
      </c>
      <c r="H52" s="401">
        <f t="shared" ref="H52" si="17">IFERROR((H51/G51)-1,"na")</f>
        <v>-0.42918030291498588</v>
      </c>
      <c r="I52" s="401">
        <f t="shared" ref="I52" si="18">IFERROR((I51/H51)-1,"na")</f>
        <v>1</v>
      </c>
      <c r="J52" s="401">
        <f t="shared" ref="J52" si="19">IFERROR((J51/I51)-1,"na")</f>
        <v>0</v>
      </c>
      <c r="K52" s="401">
        <f t="shared" ref="K52" si="20">IFERROR((K51/J51)-1,"na")</f>
        <v>0</v>
      </c>
      <c r="L52" s="401">
        <f t="shared" ref="L52" si="21">IFERROR((L51/K51)-1,"na")</f>
        <v>0</v>
      </c>
      <c r="M52" s="401">
        <f t="shared" ref="M52" si="22">IFERROR((M51/L51)-1,"na")</f>
        <v>0</v>
      </c>
      <c r="N52" s="401">
        <f t="shared" ref="N52" si="23">IFERROR((N51/M51)-1,"na")</f>
        <v>0</v>
      </c>
      <c r="O52" s="144"/>
      <c r="P52" s="144"/>
      <c r="Q52" s="144"/>
      <c r="R52" s="144"/>
      <c r="S52" s="144"/>
      <c r="T52" s="144"/>
      <c r="U52" s="144"/>
    </row>
    <row r="53" spans="1:21" x14ac:dyDescent="0.25">
      <c r="A53" s="144"/>
      <c r="B53" s="218"/>
      <c r="C53" s="144"/>
      <c r="D53" s="144"/>
      <c r="E53" s="144"/>
      <c r="F53" s="144"/>
      <c r="G53" s="144"/>
      <c r="H53" s="144"/>
      <c r="I53" s="144"/>
      <c r="J53" s="144"/>
      <c r="K53" s="144"/>
      <c r="L53" s="144"/>
      <c r="M53" s="144"/>
      <c r="N53" s="144"/>
      <c r="O53" s="144"/>
      <c r="P53" s="144"/>
      <c r="Q53" s="144"/>
      <c r="R53" s="144"/>
      <c r="S53" s="144"/>
      <c r="T53" s="144"/>
      <c r="U53" s="144"/>
    </row>
    <row r="54" spans="1:21" x14ac:dyDescent="0.25">
      <c r="A54" s="144"/>
      <c r="B54" s="218"/>
      <c r="C54" s="144"/>
      <c r="D54" s="144"/>
      <c r="E54" s="144"/>
      <c r="F54" s="144"/>
      <c r="G54" s="144"/>
      <c r="H54" s="144"/>
      <c r="I54" s="144"/>
      <c r="J54" s="144"/>
      <c r="K54" s="144"/>
      <c r="L54" s="144"/>
      <c r="M54" s="144"/>
      <c r="N54" s="144"/>
      <c r="O54" s="144"/>
      <c r="P54" s="144"/>
      <c r="Q54" s="144"/>
      <c r="R54" s="144"/>
      <c r="S54" s="144"/>
      <c r="T54" s="144"/>
      <c r="U54" s="144"/>
    </row>
    <row r="55" spans="1:21" x14ac:dyDescent="0.25">
      <c r="A55" s="144"/>
      <c r="B55" s="400"/>
      <c r="C55" s="144"/>
      <c r="D55" s="144"/>
      <c r="E55" s="144"/>
      <c r="F55" s="144"/>
      <c r="G55" s="144"/>
      <c r="H55" s="144"/>
      <c r="I55" s="144"/>
      <c r="J55" s="144"/>
      <c r="K55" s="144"/>
      <c r="L55" s="144"/>
      <c r="M55" s="144"/>
      <c r="N55" s="144"/>
      <c r="O55" s="144"/>
      <c r="P55" s="144"/>
      <c r="Q55" s="144"/>
      <c r="R55" s="144"/>
      <c r="S55" s="144"/>
      <c r="T55" s="144"/>
      <c r="U55" s="144"/>
    </row>
    <row r="56" spans="1:21" x14ac:dyDescent="0.25">
      <c r="A56" s="153"/>
      <c r="B56" s="218"/>
      <c r="C56" s="144"/>
      <c r="D56" s="144"/>
      <c r="E56" s="144"/>
      <c r="F56" s="144"/>
      <c r="G56" s="144"/>
      <c r="H56" s="144"/>
      <c r="I56" s="144"/>
      <c r="J56" s="144"/>
      <c r="K56" s="144"/>
      <c r="L56" s="144"/>
      <c r="M56" s="144"/>
      <c r="N56" s="144"/>
      <c r="O56" s="153"/>
      <c r="P56" s="153"/>
      <c r="Q56" s="153"/>
      <c r="R56" s="153"/>
      <c r="S56" s="153"/>
      <c r="T56" s="153"/>
      <c r="U56" s="153"/>
    </row>
    <row r="57" spans="1:21" x14ac:dyDescent="0.25">
      <c r="A57" s="153"/>
      <c r="B57" s="218"/>
      <c r="C57" s="144"/>
      <c r="D57" s="144"/>
      <c r="E57" s="144"/>
      <c r="F57" s="144"/>
      <c r="G57" s="144"/>
      <c r="H57" s="144"/>
      <c r="I57" s="144"/>
      <c r="J57" s="144"/>
      <c r="K57" s="144"/>
      <c r="L57" s="144"/>
      <c r="M57" s="144"/>
      <c r="N57" s="144"/>
      <c r="O57" s="153"/>
      <c r="P57" s="153"/>
      <c r="Q57" s="153"/>
      <c r="R57" s="153"/>
      <c r="S57" s="153"/>
      <c r="T57" s="153"/>
      <c r="U57" s="153"/>
    </row>
    <row r="58" spans="1:21" x14ac:dyDescent="0.25">
      <c r="A58" s="153"/>
      <c r="B58" s="218"/>
      <c r="C58" s="144"/>
      <c r="D58" s="144"/>
      <c r="E58" s="144"/>
      <c r="F58" s="144"/>
      <c r="G58" s="144"/>
      <c r="H58" s="144"/>
      <c r="I58" s="144"/>
      <c r="J58" s="144"/>
      <c r="K58" s="144"/>
      <c r="L58" s="144"/>
      <c r="M58" s="144"/>
      <c r="N58" s="144"/>
      <c r="O58" s="153"/>
      <c r="P58" s="153"/>
      <c r="Q58" s="153"/>
      <c r="R58" s="153"/>
      <c r="S58" s="153"/>
      <c r="T58" s="153"/>
      <c r="U58" s="153"/>
    </row>
    <row r="59" spans="1:21" x14ac:dyDescent="0.25">
      <c r="A59" s="144"/>
      <c r="B59" s="461"/>
      <c r="C59" s="463"/>
      <c r="D59" s="463"/>
      <c r="E59" s="387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44"/>
      <c r="S59" s="144"/>
      <c r="T59" s="144"/>
      <c r="U59" s="144"/>
    </row>
    <row r="60" spans="1:21" x14ac:dyDescent="0.25">
      <c r="A60" s="144"/>
      <c r="B60" s="461"/>
      <c r="C60" s="485"/>
      <c r="D60" s="485"/>
      <c r="E60" s="485"/>
      <c r="F60" s="144"/>
      <c r="G60" s="144"/>
      <c r="H60" s="144"/>
      <c r="I60" s="144"/>
      <c r="J60" s="144"/>
      <c r="K60" s="144"/>
      <c r="L60" s="144"/>
      <c r="M60" s="144"/>
      <c r="N60" s="144"/>
      <c r="O60" s="144"/>
      <c r="P60" s="144"/>
      <c r="Q60" s="144"/>
      <c r="R60" s="144"/>
      <c r="S60" s="144"/>
      <c r="T60" s="144"/>
      <c r="U60" s="144"/>
    </row>
    <row r="61" spans="1:21" x14ac:dyDescent="0.25">
      <c r="A61" s="144"/>
      <c r="B61" s="218"/>
      <c r="C61" s="387"/>
      <c r="D61" s="387"/>
      <c r="E61" s="387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44"/>
      <c r="U61" s="144"/>
    </row>
    <row r="62" spans="1:21" x14ac:dyDescent="0.25">
      <c r="A62" s="144"/>
      <c r="B62" s="218"/>
      <c r="C62" s="387"/>
      <c r="D62" s="387"/>
      <c r="E62" s="387"/>
      <c r="F62" s="144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44"/>
      <c r="R62" s="144"/>
      <c r="S62" s="144"/>
      <c r="T62" s="144"/>
      <c r="U62" s="144"/>
    </row>
    <row r="63" spans="1:21" x14ac:dyDescent="0.25">
      <c r="A63" s="144"/>
      <c r="B63" s="218"/>
      <c r="C63" s="387"/>
      <c r="D63" s="387"/>
      <c r="E63" s="387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44"/>
      <c r="S63" s="144"/>
      <c r="T63" s="144"/>
      <c r="U63" s="144"/>
    </row>
    <row r="64" spans="1:21" x14ac:dyDescent="0.25">
      <c r="A64" s="144"/>
      <c r="B64" s="218"/>
      <c r="C64" s="387"/>
      <c r="D64" s="387"/>
      <c r="E64" s="387"/>
      <c r="F64" s="144"/>
      <c r="G64" s="144"/>
      <c r="H64" s="144"/>
      <c r="I64" s="144"/>
      <c r="J64" s="144"/>
      <c r="K64" s="144"/>
      <c r="L64" s="144"/>
      <c r="M64" s="144"/>
      <c r="N64" s="144"/>
      <c r="O64" s="144"/>
      <c r="P64" s="144"/>
      <c r="Q64" s="144"/>
      <c r="R64" s="144"/>
      <c r="S64" s="144"/>
      <c r="T64" s="144"/>
      <c r="U64" s="144"/>
    </row>
    <row r="65" spans="1:21" x14ac:dyDescent="0.25">
      <c r="A65" s="144"/>
      <c r="B65" s="218"/>
      <c r="C65" s="144"/>
      <c r="D65" s="144"/>
      <c r="E65" s="144"/>
      <c r="F65" s="144"/>
      <c r="G65" s="144"/>
      <c r="H65" s="144"/>
      <c r="I65" s="144"/>
      <c r="J65" s="144"/>
      <c r="K65" s="144"/>
      <c r="L65" s="144"/>
      <c r="M65" s="144"/>
      <c r="N65" s="144"/>
      <c r="O65" s="144"/>
      <c r="P65" s="144"/>
      <c r="Q65" s="144"/>
      <c r="R65" s="144"/>
      <c r="S65" s="144"/>
      <c r="T65" s="144"/>
      <c r="U65" s="144"/>
    </row>
    <row r="66" spans="1:21" x14ac:dyDescent="0.25">
      <c r="A66" s="144"/>
      <c r="B66" s="218"/>
      <c r="C66" s="144"/>
      <c r="D66" s="144"/>
      <c r="E66" s="144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44"/>
      <c r="R66" s="144"/>
      <c r="S66" s="144"/>
      <c r="T66" s="144"/>
      <c r="U66" s="144"/>
    </row>
    <row r="67" spans="1:21" x14ac:dyDescent="0.25">
      <c r="A67" s="144"/>
      <c r="B67" s="461"/>
      <c r="C67" s="144"/>
      <c r="D67" s="144"/>
      <c r="E67" s="144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44"/>
      <c r="R67" s="144"/>
      <c r="S67" s="144"/>
      <c r="T67" s="144"/>
      <c r="U67" s="144"/>
    </row>
  </sheetData>
  <mergeCells count="3">
    <mergeCell ref="B5:B6"/>
    <mergeCell ref="B31:B32"/>
    <mergeCell ref="B49:B5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C9AAB-09DC-46D8-860C-E1A51138D86E}">
  <dimension ref="A1:U68"/>
  <sheetViews>
    <sheetView showGridLines="0" zoomScale="90" zoomScaleNormal="90" workbookViewId="0">
      <selection activeCell="O21" sqref="O21"/>
    </sheetView>
  </sheetViews>
  <sheetFormatPr baseColWidth="10" defaultColWidth="9.140625" defaultRowHeight="15" outlineLevelRow="2" outlineLevelCol="1" x14ac:dyDescent="0.25"/>
  <cols>
    <col min="1" max="1" width="4.42578125" style="5" customWidth="1"/>
    <col min="2" max="2" width="38.42578125" style="5" bestFit="1" customWidth="1"/>
    <col min="3" max="3" width="10.28515625" style="5" customWidth="1" outlineLevel="1"/>
    <col min="4" max="4" width="10.5703125" style="5" customWidth="1" outlineLevel="1"/>
    <col min="5" max="5" width="10.140625" style="5" customWidth="1" outlineLevel="1"/>
    <col min="6" max="12" width="10.7109375" style="5" customWidth="1" outlineLevel="1"/>
    <col min="13" max="13" width="9.28515625" style="5" customWidth="1" outlineLevel="1"/>
    <col min="14" max="14" width="10.28515625" style="5" customWidth="1" outlineLevel="1"/>
    <col min="15" max="15" width="12.7109375" style="5" customWidth="1"/>
    <col min="16" max="16" width="3.5703125" style="5" customWidth="1"/>
    <col min="17" max="17" width="12.7109375" style="5" customWidth="1"/>
    <col min="18" max="18" width="1" style="5" customWidth="1"/>
    <col min="19" max="19" width="12.7109375" style="5" customWidth="1"/>
    <col min="20" max="20" width="33.85546875" style="5" customWidth="1"/>
    <col min="21" max="16384" width="9.140625" style="5"/>
  </cols>
  <sheetData>
    <row r="1" spans="1:21" ht="9" customHeight="1" x14ac:dyDescent="0.25"/>
    <row r="2" spans="1:21" ht="30" customHeight="1" x14ac:dyDescent="0.25">
      <c r="A2" s="1"/>
      <c r="B2" s="169" t="s">
        <v>65</v>
      </c>
      <c r="C2" s="170" t="s">
        <v>68</v>
      </c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213"/>
      <c r="Q2" s="214"/>
      <c r="R2" s="213"/>
      <c r="S2" s="214"/>
      <c r="T2" s="215"/>
    </row>
    <row r="3" spans="1:21" ht="15" customHeight="1" x14ac:dyDescent="0.25">
      <c r="A3" s="1"/>
      <c r="B3" s="181"/>
      <c r="C3" s="6"/>
      <c r="D3" s="6"/>
      <c r="E3" s="6"/>
      <c r="F3" s="6"/>
      <c r="G3" s="6"/>
      <c r="H3" s="6"/>
      <c r="I3" s="6"/>
      <c r="J3" s="6"/>
      <c r="K3" s="6"/>
      <c r="L3" s="6"/>
      <c r="M3" s="4"/>
      <c r="N3" s="4"/>
      <c r="O3" s="4"/>
      <c r="P3"/>
      <c r="Q3" s="4"/>
      <c r="R3"/>
      <c r="S3" s="4"/>
    </row>
    <row r="4" spans="1:21" ht="15" customHeight="1" x14ac:dyDescent="0.25">
      <c r="A4" s="7"/>
      <c r="B4" s="182"/>
      <c r="C4" s="9" t="s">
        <v>49</v>
      </c>
      <c r="D4" s="9" t="s">
        <v>49</v>
      </c>
      <c r="E4" s="9" t="s">
        <v>49</v>
      </c>
      <c r="F4" s="9" t="s">
        <v>49</v>
      </c>
      <c r="G4" s="9" t="s">
        <v>49</v>
      </c>
      <c r="H4" s="10" t="s">
        <v>51</v>
      </c>
      <c r="I4" s="10" t="s">
        <v>51</v>
      </c>
      <c r="J4" s="10" t="s">
        <v>51</v>
      </c>
      <c r="K4" s="10" t="s">
        <v>51</v>
      </c>
      <c r="L4" s="10" t="s">
        <v>51</v>
      </c>
      <c r="M4" s="10" t="s">
        <v>51</v>
      </c>
      <c r="N4" s="10" t="s">
        <v>51</v>
      </c>
      <c r="O4" s="219" t="s">
        <v>67</v>
      </c>
      <c r="P4"/>
      <c r="Q4" s="11" t="s">
        <v>1</v>
      </c>
      <c r="R4"/>
    </row>
    <row r="5" spans="1:21" ht="15" customHeight="1" x14ac:dyDescent="0.25">
      <c r="A5" s="12"/>
      <c r="B5" s="508" t="s">
        <v>2</v>
      </c>
      <c r="C5" s="13">
        <v>2026</v>
      </c>
      <c r="D5" s="13">
        <v>2026</v>
      </c>
      <c r="E5" s="13">
        <v>2026</v>
      </c>
      <c r="F5" s="13">
        <v>2026</v>
      </c>
      <c r="G5" s="13">
        <v>2026</v>
      </c>
      <c r="H5" s="13">
        <v>2026</v>
      </c>
      <c r="I5" s="13">
        <v>2026</v>
      </c>
      <c r="J5" s="13">
        <v>2026</v>
      </c>
      <c r="K5" s="13">
        <v>2026</v>
      </c>
      <c r="L5" s="13">
        <v>2026</v>
      </c>
      <c r="M5" s="13">
        <v>2026</v>
      </c>
      <c r="N5" s="13">
        <v>2026</v>
      </c>
      <c r="O5" s="14">
        <v>2026</v>
      </c>
      <c r="P5"/>
      <c r="Q5" s="9">
        <v>2026</v>
      </c>
      <c r="R5"/>
    </row>
    <row r="6" spans="1:21" ht="20.25" customHeight="1" x14ac:dyDescent="0.3">
      <c r="A6" s="15"/>
      <c r="B6" s="509"/>
      <c r="C6" s="16" t="s">
        <v>3</v>
      </c>
      <c r="D6" s="17" t="s">
        <v>4</v>
      </c>
      <c r="E6" s="17" t="s">
        <v>5</v>
      </c>
      <c r="F6" s="17" t="s">
        <v>6</v>
      </c>
      <c r="G6" s="17" t="s">
        <v>7</v>
      </c>
      <c r="H6" s="17" t="s">
        <v>8</v>
      </c>
      <c r="I6" s="17" t="s">
        <v>9</v>
      </c>
      <c r="J6" s="17" t="s">
        <v>10</v>
      </c>
      <c r="K6" s="17" t="s">
        <v>11</v>
      </c>
      <c r="L6" s="17" t="s">
        <v>12</v>
      </c>
      <c r="M6" s="17" t="s">
        <v>13</v>
      </c>
      <c r="N6" s="17" t="s">
        <v>14</v>
      </c>
      <c r="O6" s="10" t="s">
        <v>15</v>
      </c>
      <c r="P6"/>
      <c r="Q6" s="11" t="s">
        <v>15</v>
      </c>
      <c r="R6"/>
      <c r="S6" s="11" t="s">
        <v>53</v>
      </c>
      <c r="T6" s="10" t="s">
        <v>54</v>
      </c>
    </row>
    <row r="7" spans="1:21" ht="15" customHeight="1" x14ac:dyDescent="0.25">
      <c r="A7" s="18"/>
      <c r="B7" s="183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/>
      <c r="Q7" s="20"/>
      <c r="R7"/>
      <c r="S7" s="20"/>
      <c r="T7" s="21"/>
    </row>
    <row r="8" spans="1:21" ht="15" customHeight="1" x14ac:dyDescent="0.25">
      <c r="A8" s="18"/>
      <c r="B8" s="184" t="s">
        <v>16</v>
      </c>
      <c r="C8" s="23">
        <v>23781</v>
      </c>
      <c r="D8" s="23">
        <v>22166</v>
      </c>
      <c r="E8" s="23">
        <v>25375</v>
      </c>
      <c r="F8" s="23">
        <v>26753</v>
      </c>
      <c r="G8" s="23">
        <v>20641</v>
      </c>
      <c r="H8" s="23"/>
      <c r="I8" s="23"/>
      <c r="J8" s="23"/>
      <c r="K8" s="23"/>
      <c r="L8" s="23"/>
      <c r="M8" s="23"/>
      <c r="N8" s="23"/>
      <c r="O8" s="23">
        <f>+SUM(C8:N8)</f>
        <v>118716</v>
      </c>
      <c r="P8" s="24"/>
      <c r="Q8" s="23"/>
      <c r="R8" s="24"/>
      <c r="S8" s="25">
        <f>+O8-Q8</f>
        <v>118716</v>
      </c>
      <c r="T8" s="26"/>
      <c r="U8" s="27"/>
    </row>
    <row r="9" spans="1:21" ht="15" customHeight="1" x14ac:dyDescent="0.25">
      <c r="A9" s="28"/>
      <c r="B9" s="185" t="s">
        <v>17</v>
      </c>
      <c r="C9" s="30" t="str">
        <f t="shared" ref="C9:N9" si="0">IFERROR((C8/B8)-1,"na")</f>
        <v>na</v>
      </c>
      <c r="D9" s="30">
        <f>IFERROR((D8/C8)-1,"na")</f>
        <v>-6.7911357806652362E-2</v>
      </c>
      <c r="E9" s="30">
        <f t="shared" si="0"/>
        <v>0.14477127131643064</v>
      </c>
      <c r="F9" s="30">
        <f t="shared" si="0"/>
        <v>5.4305418719211795E-2</v>
      </c>
      <c r="G9" s="30">
        <f t="shared" si="0"/>
        <v>-0.22846035958584088</v>
      </c>
      <c r="H9" s="30">
        <f t="shared" si="0"/>
        <v>-1</v>
      </c>
      <c r="I9" s="30" t="str">
        <f t="shared" si="0"/>
        <v>na</v>
      </c>
      <c r="J9" s="30" t="str">
        <f t="shared" si="0"/>
        <v>na</v>
      </c>
      <c r="K9" s="30" t="str">
        <f t="shared" si="0"/>
        <v>na</v>
      </c>
      <c r="L9" s="30" t="str">
        <f t="shared" si="0"/>
        <v>na</v>
      </c>
      <c r="M9" s="30" t="str">
        <f t="shared" si="0"/>
        <v>na</v>
      </c>
      <c r="N9" s="30" t="str">
        <f t="shared" si="0"/>
        <v>na</v>
      </c>
      <c r="O9" s="31"/>
      <c r="P9" s="24"/>
      <c r="Q9" s="31"/>
      <c r="R9" s="24"/>
      <c r="S9" s="32"/>
      <c r="T9" s="33"/>
      <c r="U9" s="34"/>
    </row>
    <row r="10" spans="1:21" ht="15" customHeight="1" x14ac:dyDescent="0.25">
      <c r="A10" s="35"/>
      <c r="B10" s="186" t="s">
        <v>18</v>
      </c>
      <c r="C10" s="140">
        <v>-7711</v>
      </c>
      <c r="D10" s="140">
        <v>-8692</v>
      </c>
      <c r="E10" s="140">
        <v>-8944</v>
      </c>
      <c r="F10" s="140">
        <v>-10096</v>
      </c>
      <c r="G10" s="140">
        <v>-8119</v>
      </c>
      <c r="H10" s="140"/>
      <c r="I10" s="140"/>
      <c r="J10" s="140"/>
      <c r="K10" s="140"/>
      <c r="L10" s="140"/>
      <c r="M10" s="140"/>
      <c r="N10" s="140"/>
      <c r="O10" s="140">
        <f>+SUM(C10:N10)</f>
        <v>-43562</v>
      </c>
      <c r="P10" s="38"/>
      <c r="Q10" s="140"/>
      <c r="R10" s="24"/>
      <c r="S10" s="140">
        <f>+O10-Q10</f>
        <v>-43562</v>
      </c>
      <c r="T10" s="34"/>
      <c r="U10" s="34"/>
    </row>
    <row r="11" spans="1:21" ht="15" customHeight="1" x14ac:dyDescent="0.25">
      <c r="A11" s="35"/>
      <c r="B11" s="187" t="s">
        <v>19</v>
      </c>
      <c r="C11" s="40">
        <f t="shared" ref="C11:N11" si="1">C8+C10</f>
        <v>16070</v>
      </c>
      <c r="D11" s="40">
        <f t="shared" si="1"/>
        <v>13474</v>
      </c>
      <c r="E11" s="40">
        <f t="shared" si="1"/>
        <v>16431</v>
      </c>
      <c r="F11" s="40">
        <f t="shared" si="1"/>
        <v>16657</v>
      </c>
      <c r="G11" s="40">
        <f t="shared" si="1"/>
        <v>12522</v>
      </c>
      <c r="H11" s="40">
        <f t="shared" si="1"/>
        <v>0</v>
      </c>
      <c r="I11" s="40">
        <f t="shared" si="1"/>
        <v>0</v>
      </c>
      <c r="J11" s="40">
        <f t="shared" si="1"/>
        <v>0</v>
      </c>
      <c r="K11" s="40">
        <f t="shared" si="1"/>
        <v>0</v>
      </c>
      <c r="L11" s="40">
        <f t="shared" si="1"/>
        <v>0</v>
      </c>
      <c r="M11" s="40">
        <f t="shared" si="1"/>
        <v>0</v>
      </c>
      <c r="N11" s="40">
        <f t="shared" si="1"/>
        <v>0</v>
      </c>
      <c r="O11" s="40">
        <f>O8+O10</f>
        <v>75154</v>
      </c>
      <c r="P11" s="24"/>
      <c r="Q11" s="40">
        <f>Q8+Q10</f>
        <v>0</v>
      </c>
      <c r="R11" s="24"/>
      <c r="S11" s="40">
        <f>+O11-Q11</f>
        <v>75154</v>
      </c>
    </row>
    <row r="12" spans="1:21" ht="15" customHeight="1" x14ac:dyDescent="0.25">
      <c r="A12" s="28"/>
      <c r="B12" s="188" t="s">
        <v>20</v>
      </c>
      <c r="C12" s="172">
        <f t="shared" ref="C12:O12" si="2">IFERROR(C11/C8,"na")</f>
        <v>0.67574954795845421</v>
      </c>
      <c r="D12" s="42">
        <f t="shared" si="2"/>
        <v>0.60786790580167827</v>
      </c>
      <c r="E12" s="42">
        <f t="shared" si="2"/>
        <v>0.64752709359605909</v>
      </c>
      <c r="F12" s="42">
        <f t="shared" si="2"/>
        <v>0.62262176204537811</v>
      </c>
      <c r="G12" s="42">
        <f t="shared" si="2"/>
        <v>0.60665665423186865</v>
      </c>
      <c r="H12" s="42" t="str">
        <f t="shared" si="2"/>
        <v>na</v>
      </c>
      <c r="I12" s="42" t="str">
        <f t="shared" si="2"/>
        <v>na</v>
      </c>
      <c r="J12" s="42" t="str">
        <f t="shared" si="2"/>
        <v>na</v>
      </c>
      <c r="K12" s="42" t="str">
        <f t="shared" si="2"/>
        <v>na</v>
      </c>
      <c r="L12" s="42" t="str">
        <f t="shared" si="2"/>
        <v>na</v>
      </c>
      <c r="M12" s="42" t="str">
        <f t="shared" si="2"/>
        <v>na</v>
      </c>
      <c r="N12" s="42" t="str">
        <f t="shared" si="2"/>
        <v>na</v>
      </c>
      <c r="O12" s="42">
        <f t="shared" si="2"/>
        <v>0.6330570437009333</v>
      </c>
      <c r="P12" s="24"/>
      <c r="Q12" s="42" t="str">
        <f>IFERROR(Q11/Q8,"na")</f>
        <v>na</v>
      </c>
      <c r="R12" s="24"/>
      <c r="S12" s="42"/>
    </row>
    <row r="13" spans="1:21" ht="15" customHeight="1" x14ac:dyDescent="0.25">
      <c r="A13" s="18"/>
      <c r="B13" s="189" t="s">
        <v>21</v>
      </c>
      <c r="C13" s="44">
        <v>-20717.419999999998</v>
      </c>
      <c r="D13" s="44">
        <v>-22253.88</v>
      </c>
      <c r="E13" s="44">
        <v>-21680.51</v>
      </c>
      <c r="F13" s="44">
        <v>-21897.05</v>
      </c>
      <c r="G13" s="44">
        <v>-22192.99</v>
      </c>
      <c r="H13" s="44"/>
      <c r="I13" s="44"/>
      <c r="J13" s="44"/>
      <c r="K13" s="44"/>
      <c r="L13" s="44"/>
      <c r="M13" s="44"/>
      <c r="N13" s="44"/>
      <c r="O13" s="44">
        <f>+SUM(C13:N13)</f>
        <v>-108741.85</v>
      </c>
      <c r="P13" s="24"/>
      <c r="Q13" s="44"/>
      <c r="R13" s="24"/>
      <c r="S13" s="45">
        <f>+O13-Q13</f>
        <v>-108741.85</v>
      </c>
      <c r="T13" s="46"/>
    </row>
    <row r="14" spans="1:21" ht="15" customHeight="1" x14ac:dyDescent="0.25">
      <c r="A14" s="47"/>
      <c r="B14" s="190" t="s">
        <v>22</v>
      </c>
      <c r="C14" s="49">
        <v>7</v>
      </c>
      <c r="D14" s="49">
        <v>8</v>
      </c>
      <c r="E14" s="49">
        <v>8</v>
      </c>
      <c r="F14" s="49">
        <v>8</v>
      </c>
      <c r="G14" s="49">
        <v>8</v>
      </c>
      <c r="H14" s="49"/>
      <c r="I14" s="49"/>
      <c r="J14" s="49"/>
      <c r="K14" s="49"/>
      <c r="L14" s="49"/>
      <c r="M14" s="49"/>
      <c r="N14" s="49"/>
      <c r="O14" s="49">
        <f>+SUM(C14:N14)</f>
        <v>39</v>
      </c>
      <c r="P14" s="24"/>
      <c r="Q14" s="49"/>
      <c r="R14" s="24"/>
      <c r="S14" s="49"/>
    </row>
    <row r="15" spans="1:21" ht="15" customHeight="1" x14ac:dyDescent="0.25">
      <c r="A15" s="50"/>
      <c r="B15" s="191" t="s">
        <v>23</v>
      </c>
      <c r="C15" s="52">
        <f t="shared" ref="C15:O15" si="3">C8+C10+C13</f>
        <v>-4647.4199999999983</v>
      </c>
      <c r="D15" s="52">
        <f t="shared" si="3"/>
        <v>-8779.880000000001</v>
      </c>
      <c r="E15" s="52">
        <f t="shared" si="3"/>
        <v>-5249.5099999999984</v>
      </c>
      <c r="F15" s="52">
        <f t="shared" si="3"/>
        <v>-5240.0499999999993</v>
      </c>
      <c r="G15" s="52">
        <f t="shared" si="3"/>
        <v>-9670.9900000000016</v>
      </c>
      <c r="H15" s="52">
        <f t="shared" si="3"/>
        <v>0</v>
      </c>
      <c r="I15" s="52">
        <f t="shared" si="3"/>
        <v>0</v>
      </c>
      <c r="J15" s="52">
        <f t="shared" si="3"/>
        <v>0</v>
      </c>
      <c r="K15" s="52">
        <f t="shared" si="3"/>
        <v>0</v>
      </c>
      <c r="L15" s="52">
        <f t="shared" si="3"/>
        <v>0</v>
      </c>
      <c r="M15" s="52">
        <f t="shared" si="3"/>
        <v>0</v>
      </c>
      <c r="N15" s="52">
        <f t="shared" si="3"/>
        <v>0</v>
      </c>
      <c r="O15" s="52">
        <f t="shared" si="3"/>
        <v>-33587.850000000006</v>
      </c>
      <c r="P15" s="24"/>
      <c r="Q15" s="52">
        <f>Q8+Q10+Q13</f>
        <v>0</v>
      </c>
      <c r="R15" s="24"/>
      <c r="S15" s="25">
        <f>+O15-Q15</f>
        <v>-33587.850000000006</v>
      </c>
    </row>
    <row r="16" spans="1:21" ht="15" customHeight="1" x14ac:dyDescent="0.25">
      <c r="A16" s="50"/>
      <c r="B16" s="188" t="s">
        <v>20</v>
      </c>
      <c r="C16" s="172">
        <f t="shared" ref="C16:N16" si="4">IFERROR(C15/C8,"na")</f>
        <v>-0.19542576006055246</v>
      </c>
      <c r="D16" s="42">
        <f t="shared" si="4"/>
        <v>-0.39609672471352525</v>
      </c>
      <c r="E16" s="42">
        <f t="shared" si="4"/>
        <v>-0.20687724137931029</v>
      </c>
      <c r="F16" s="42">
        <f t="shared" si="4"/>
        <v>-0.19586775314917951</v>
      </c>
      <c r="G16" s="42">
        <f t="shared" si="4"/>
        <v>-0.46853301681120108</v>
      </c>
      <c r="H16" s="42" t="str">
        <f t="shared" si="4"/>
        <v>na</v>
      </c>
      <c r="I16" s="42" t="str">
        <f t="shared" si="4"/>
        <v>na</v>
      </c>
      <c r="J16" s="42" t="str">
        <f t="shared" si="4"/>
        <v>na</v>
      </c>
      <c r="K16" s="42" t="str">
        <f t="shared" si="4"/>
        <v>na</v>
      </c>
      <c r="L16" s="42" t="str">
        <f t="shared" si="4"/>
        <v>na</v>
      </c>
      <c r="M16" s="42" t="str">
        <f t="shared" si="4"/>
        <v>na</v>
      </c>
      <c r="N16" s="42" t="str">
        <f t="shared" si="4"/>
        <v>na</v>
      </c>
      <c r="O16" s="42">
        <f>IFERROR(O15/$O$8,"na")</f>
        <v>-0.28292605882947541</v>
      </c>
      <c r="P16" s="24"/>
      <c r="Q16" s="42" t="str">
        <f>IFERROR(Q15/Q8,"na")</f>
        <v>na</v>
      </c>
      <c r="R16" s="24"/>
      <c r="S16" s="42"/>
    </row>
    <row r="17" spans="1:20" ht="15" customHeight="1" x14ac:dyDescent="0.25">
      <c r="A17" s="50"/>
      <c r="B17" s="192" t="s">
        <v>24</v>
      </c>
      <c r="C17" s="54">
        <v>-16371</v>
      </c>
      <c r="D17" s="54">
        <v>-18996</v>
      </c>
      <c r="E17" s="54">
        <v>-16044</v>
      </c>
      <c r="F17" s="54">
        <v>-19524</v>
      </c>
      <c r="G17" s="54">
        <v>-17226</v>
      </c>
      <c r="H17" s="54">
        <f t="shared" ref="H17:N17" si="5">+H19+H20</f>
        <v>0</v>
      </c>
      <c r="I17" s="54">
        <f t="shared" si="5"/>
        <v>0</v>
      </c>
      <c r="J17" s="54">
        <f t="shared" si="5"/>
        <v>0</v>
      </c>
      <c r="K17" s="54">
        <f t="shared" si="5"/>
        <v>0</v>
      </c>
      <c r="L17" s="54">
        <f t="shared" si="5"/>
        <v>0</v>
      </c>
      <c r="M17" s="54">
        <f t="shared" si="5"/>
        <v>0</v>
      </c>
      <c r="N17" s="54">
        <f t="shared" si="5"/>
        <v>0</v>
      </c>
      <c r="O17" s="54">
        <f>+O19+O20</f>
        <v>-88161</v>
      </c>
      <c r="P17" s="24"/>
      <c r="Q17" s="54">
        <f>+Q19+Q20</f>
        <v>0</v>
      </c>
      <c r="R17" s="24"/>
      <c r="S17" s="56">
        <f>+O17-Q17</f>
        <v>-88161</v>
      </c>
    </row>
    <row r="18" spans="1:20" ht="15" customHeight="1" x14ac:dyDescent="0.25">
      <c r="A18" s="57"/>
      <c r="B18" s="193" t="s">
        <v>20</v>
      </c>
      <c r="C18" s="173">
        <f t="shared" ref="C18:N18" si="6">IFERROR(C17/C8,"na")</f>
        <v>-0.68840671124006558</v>
      </c>
      <c r="D18" s="59">
        <f t="shared" si="6"/>
        <v>-0.85698818009564193</v>
      </c>
      <c r="E18" s="59">
        <f t="shared" si="6"/>
        <v>-0.63227586206896547</v>
      </c>
      <c r="F18" s="59">
        <f t="shared" si="6"/>
        <v>-0.72978731357230964</v>
      </c>
      <c r="G18" s="59">
        <f t="shared" si="6"/>
        <v>-0.83455258950632238</v>
      </c>
      <c r="H18" s="59" t="str">
        <f t="shared" si="6"/>
        <v>na</v>
      </c>
      <c r="I18" s="59" t="str">
        <f t="shared" si="6"/>
        <v>na</v>
      </c>
      <c r="J18" s="59" t="str">
        <f t="shared" si="6"/>
        <v>na</v>
      </c>
      <c r="K18" s="59" t="str">
        <f t="shared" si="6"/>
        <v>na</v>
      </c>
      <c r="L18" s="59" t="str">
        <f t="shared" si="6"/>
        <v>na</v>
      </c>
      <c r="M18" s="59" t="str">
        <f t="shared" si="6"/>
        <v>na</v>
      </c>
      <c r="N18" s="59" t="str">
        <f t="shared" si="6"/>
        <v>na</v>
      </c>
      <c r="O18" s="59">
        <f>IFERROR(O17/$O$8,"na")</f>
        <v>-0.74262104518346306</v>
      </c>
      <c r="P18" s="24"/>
      <c r="Q18" s="59">
        <f>IFERROR(Q17/$O$8,"na")</f>
        <v>0</v>
      </c>
      <c r="R18" s="24"/>
      <c r="S18" s="60"/>
    </row>
    <row r="19" spans="1:20" ht="15" customHeight="1" x14ac:dyDescent="0.25">
      <c r="A19" s="57"/>
      <c r="B19" s="194" t="s">
        <v>25</v>
      </c>
      <c r="C19" s="63">
        <v>-7265</v>
      </c>
      <c r="D19" s="63">
        <v>-8208</v>
      </c>
      <c r="E19" s="63">
        <v>-6081</v>
      </c>
      <c r="F19" s="63">
        <v>-8525</v>
      </c>
      <c r="G19" s="63">
        <v>-8171</v>
      </c>
      <c r="H19" s="63"/>
      <c r="I19" s="63"/>
      <c r="J19" s="63"/>
      <c r="K19" s="63"/>
      <c r="L19" s="63"/>
      <c r="M19" s="63"/>
      <c r="N19" s="63"/>
      <c r="O19" s="63">
        <f>+SUM(C19:N19)</f>
        <v>-38250</v>
      </c>
      <c r="P19" s="24"/>
      <c r="Q19" s="62"/>
      <c r="R19" s="24"/>
      <c r="S19" s="62">
        <f>+O19-Q19</f>
        <v>-38250</v>
      </c>
    </row>
    <row r="20" spans="1:20" ht="15" customHeight="1" x14ac:dyDescent="0.25">
      <c r="A20" s="64"/>
      <c r="B20" s="194" t="s">
        <v>26</v>
      </c>
      <c r="C20" s="63">
        <f>+C17-C19</f>
        <v>-9106</v>
      </c>
      <c r="D20" s="63">
        <f>+D17-D19</f>
        <v>-10788</v>
      </c>
      <c r="E20" s="63">
        <f>+E17-E19</f>
        <v>-9963</v>
      </c>
      <c r="F20" s="63">
        <f>+F17-F19</f>
        <v>-10999</v>
      </c>
      <c r="G20" s="63">
        <f>+G17-G19</f>
        <v>-9055</v>
      </c>
      <c r="H20" s="63"/>
      <c r="I20" s="63"/>
      <c r="J20" s="63"/>
      <c r="K20" s="63"/>
      <c r="L20" s="63"/>
      <c r="M20" s="63"/>
      <c r="N20" s="63"/>
      <c r="O20" s="63">
        <f>+SUM(C20:N20)</f>
        <v>-49911</v>
      </c>
      <c r="P20" s="24"/>
      <c r="Q20" s="63"/>
      <c r="R20" s="24"/>
      <c r="S20" s="62">
        <f>+O20-Q20</f>
        <v>-49911</v>
      </c>
    </row>
    <row r="21" spans="1:20" ht="15" customHeight="1" x14ac:dyDescent="0.25">
      <c r="A21" s="50"/>
      <c r="B21" s="191" t="s">
        <v>27</v>
      </c>
      <c r="C21" s="52">
        <f t="shared" ref="C21:O21" si="7">C15+C17</f>
        <v>-21018.42</v>
      </c>
      <c r="D21" s="52">
        <f t="shared" si="7"/>
        <v>-27775.88</v>
      </c>
      <c r="E21" s="52">
        <f t="shared" si="7"/>
        <v>-21293.51</v>
      </c>
      <c r="F21" s="52">
        <f t="shared" si="7"/>
        <v>-24764.05</v>
      </c>
      <c r="G21" s="52">
        <f t="shared" si="7"/>
        <v>-26896.99</v>
      </c>
      <c r="H21" s="52">
        <f t="shared" si="7"/>
        <v>0</v>
      </c>
      <c r="I21" s="52">
        <f t="shared" si="7"/>
        <v>0</v>
      </c>
      <c r="J21" s="52">
        <f t="shared" si="7"/>
        <v>0</v>
      </c>
      <c r="K21" s="52">
        <f t="shared" si="7"/>
        <v>0</v>
      </c>
      <c r="L21" s="52">
        <f t="shared" si="7"/>
        <v>0</v>
      </c>
      <c r="M21" s="52">
        <f t="shared" si="7"/>
        <v>0</v>
      </c>
      <c r="N21" s="52">
        <f t="shared" si="7"/>
        <v>0</v>
      </c>
      <c r="O21" s="52">
        <f t="shared" si="7"/>
        <v>-121748.85</v>
      </c>
      <c r="P21" s="24"/>
      <c r="Q21" s="52">
        <f>Q15+Q17</f>
        <v>0</v>
      </c>
      <c r="R21" s="24"/>
      <c r="S21" s="25">
        <f>+O21-Q21</f>
        <v>-121748.85</v>
      </c>
      <c r="T21" s="66"/>
    </row>
    <row r="22" spans="1:20" ht="15" customHeight="1" x14ac:dyDescent="0.25">
      <c r="A22" s="50"/>
      <c r="B22" s="193" t="s">
        <v>20</v>
      </c>
      <c r="C22" s="174">
        <f t="shared" ref="C22:O22" si="8">IFERROR(C21/C8,"na")</f>
        <v>-0.88383247130061804</v>
      </c>
      <c r="D22" s="67">
        <f t="shared" si="8"/>
        <v>-1.2530849048091672</v>
      </c>
      <c r="E22" s="67">
        <f t="shared" si="8"/>
        <v>-0.83915310344827576</v>
      </c>
      <c r="F22" s="67">
        <f t="shared" si="8"/>
        <v>-0.92565506672148912</v>
      </c>
      <c r="G22" s="67">
        <f t="shared" si="8"/>
        <v>-1.3030856063175233</v>
      </c>
      <c r="H22" s="67" t="str">
        <f t="shared" si="8"/>
        <v>na</v>
      </c>
      <c r="I22" s="67" t="str">
        <f t="shared" si="8"/>
        <v>na</v>
      </c>
      <c r="J22" s="67" t="str">
        <f t="shared" si="8"/>
        <v>na</v>
      </c>
      <c r="K22" s="67" t="str">
        <f t="shared" si="8"/>
        <v>na</v>
      </c>
      <c r="L22" s="67" t="str">
        <f t="shared" si="8"/>
        <v>na</v>
      </c>
      <c r="M22" s="67" t="str">
        <f t="shared" si="8"/>
        <v>na</v>
      </c>
      <c r="N22" s="67" t="str">
        <f t="shared" si="8"/>
        <v>na</v>
      </c>
      <c r="O22" s="67">
        <f t="shared" si="8"/>
        <v>-1.0255471040129385</v>
      </c>
      <c r="P22"/>
      <c r="Q22" s="67" t="str">
        <f>IFERROR(Q21/Q8,"na")</f>
        <v>na</v>
      </c>
      <c r="R22"/>
      <c r="S22" s="58"/>
    </row>
    <row r="23" spans="1:20" ht="15" customHeight="1" x14ac:dyDescent="0.25">
      <c r="A23" s="68"/>
      <c r="B23" s="216" t="s">
        <v>28</v>
      </c>
      <c r="C23" s="141"/>
      <c r="D23" s="141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/>
      <c r="Q23" s="70"/>
      <c r="R23"/>
      <c r="S23" s="70">
        <f>+O23-Q23</f>
        <v>0</v>
      </c>
    </row>
    <row r="24" spans="1:20" ht="15" customHeight="1" x14ac:dyDescent="0.25">
      <c r="A24" s="71"/>
      <c r="B24" s="196" t="s">
        <v>29</v>
      </c>
      <c r="C24" s="76">
        <f t="shared" ref="C24:O24" si="9">C21+C23</f>
        <v>-21018.42</v>
      </c>
      <c r="D24" s="73">
        <f t="shared" si="9"/>
        <v>-27775.88</v>
      </c>
      <c r="E24" s="73">
        <f t="shared" si="9"/>
        <v>-21293.51</v>
      </c>
      <c r="F24" s="73">
        <f t="shared" si="9"/>
        <v>-24764.05</v>
      </c>
      <c r="G24" s="73">
        <f t="shared" si="9"/>
        <v>-26896.99</v>
      </c>
      <c r="H24" s="73">
        <f t="shared" si="9"/>
        <v>0</v>
      </c>
      <c r="I24" s="73">
        <f t="shared" si="9"/>
        <v>0</v>
      </c>
      <c r="J24" s="73">
        <f t="shared" si="9"/>
        <v>0</v>
      </c>
      <c r="K24" s="73">
        <f t="shared" si="9"/>
        <v>0</v>
      </c>
      <c r="L24" s="73">
        <f t="shared" si="9"/>
        <v>0</v>
      </c>
      <c r="M24" s="73">
        <f t="shared" si="9"/>
        <v>0</v>
      </c>
      <c r="N24" s="73">
        <f t="shared" si="9"/>
        <v>0</v>
      </c>
      <c r="O24" s="73">
        <f t="shared" si="9"/>
        <v>-121748.85</v>
      </c>
      <c r="P24"/>
      <c r="Q24" s="73">
        <f>Q21+Q23</f>
        <v>0</v>
      </c>
      <c r="R24"/>
      <c r="S24" s="73">
        <f>+O24-Q24</f>
        <v>-121748.85</v>
      </c>
    </row>
    <row r="25" spans="1:20" ht="15" customHeight="1" x14ac:dyDescent="0.25">
      <c r="A25" s="68"/>
      <c r="B25" s="197" t="s">
        <v>20</v>
      </c>
      <c r="C25" s="175">
        <f t="shared" ref="C25:O25" si="10">IFERROR(C24/C8,"na")</f>
        <v>-0.88383247130061804</v>
      </c>
      <c r="D25" s="75">
        <f t="shared" si="10"/>
        <v>-1.2530849048091672</v>
      </c>
      <c r="E25" s="75">
        <f t="shared" si="10"/>
        <v>-0.83915310344827576</v>
      </c>
      <c r="F25" s="75">
        <f t="shared" si="10"/>
        <v>-0.92565506672148912</v>
      </c>
      <c r="G25" s="75">
        <f t="shared" si="10"/>
        <v>-1.3030856063175233</v>
      </c>
      <c r="H25" s="75" t="str">
        <f t="shared" si="10"/>
        <v>na</v>
      </c>
      <c r="I25" s="75" t="str">
        <f t="shared" si="10"/>
        <v>na</v>
      </c>
      <c r="J25" s="75" t="str">
        <f t="shared" si="10"/>
        <v>na</v>
      </c>
      <c r="K25" s="75" t="str">
        <f t="shared" si="10"/>
        <v>na</v>
      </c>
      <c r="L25" s="75" t="str">
        <f t="shared" si="10"/>
        <v>na</v>
      </c>
      <c r="M25" s="75" t="str">
        <f t="shared" si="10"/>
        <v>na</v>
      </c>
      <c r="N25" s="75" t="str">
        <f t="shared" si="10"/>
        <v>na</v>
      </c>
      <c r="O25" s="75">
        <f t="shared" si="10"/>
        <v>-1.0255471040129385</v>
      </c>
      <c r="P25"/>
      <c r="Q25" s="75">
        <v>-0.60977488656199375</v>
      </c>
      <c r="R25"/>
      <c r="S25" s="75"/>
    </row>
    <row r="26" spans="1:20" ht="15" customHeight="1" x14ac:dyDescent="0.25">
      <c r="A26" s="68"/>
      <c r="B26" s="194" t="s">
        <v>30</v>
      </c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/>
      <c r="Q26" s="76"/>
      <c r="R26"/>
      <c r="S26" s="77">
        <f>+O26-Q26</f>
        <v>0</v>
      </c>
    </row>
    <row r="27" spans="1:20" ht="15" customHeight="1" x14ac:dyDescent="0.25">
      <c r="A27" s="68"/>
      <c r="B27" s="194" t="s">
        <v>31</v>
      </c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9"/>
      <c r="N27" s="79"/>
      <c r="O27" s="80"/>
      <c r="P27"/>
      <c r="Q27" s="80">
        <v>0</v>
      </c>
      <c r="R27"/>
      <c r="S27" s="81">
        <f>+O27-Q27</f>
        <v>0</v>
      </c>
    </row>
    <row r="28" spans="1:20" ht="15" customHeight="1" x14ac:dyDescent="0.25">
      <c r="A28" s="68"/>
      <c r="B28" s="191" t="s">
        <v>32</v>
      </c>
      <c r="C28" s="52">
        <f t="shared" ref="C28:O28" si="11">+C24+C26+C27</f>
        <v>-21018.42</v>
      </c>
      <c r="D28" s="52">
        <f t="shared" si="11"/>
        <v>-27775.88</v>
      </c>
      <c r="E28" s="52">
        <f t="shared" si="11"/>
        <v>-21293.51</v>
      </c>
      <c r="F28" s="52">
        <f t="shared" si="11"/>
        <v>-24764.05</v>
      </c>
      <c r="G28" s="52">
        <f t="shared" si="11"/>
        <v>-26896.99</v>
      </c>
      <c r="H28" s="52">
        <f t="shared" si="11"/>
        <v>0</v>
      </c>
      <c r="I28" s="52">
        <f t="shared" si="11"/>
        <v>0</v>
      </c>
      <c r="J28" s="52">
        <f t="shared" si="11"/>
        <v>0</v>
      </c>
      <c r="K28" s="52">
        <f t="shared" si="11"/>
        <v>0</v>
      </c>
      <c r="L28" s="52">
        <f t="shared" si="11"/>
        <v>0</v>
      </c>
      <c r="M28" s="52">
        <f t="shared" si="11"/>
        <v>0</v>
      </c>
      <c r="N28" s="52">
        <f t="shared" si="11"/>
        <v>0</v>
      </c>
      <c r="O28" s="52">
        <f t="shared" si="11"/>
        <v>-121748.85</v>
      </c>
      <c r="P28"/>
      <c r="Q28" s="52">
        <f>+Q24+Q26+Q27</f>
        <v>0</v>
      </c>
      <c r="R28"/>
      <c r="S28" s="52">
        <f>+O28-Q28</f>
        <v>-121748.85</v>
      </c>
    </row>
    <row r="29" spans="1:20" ht="15" customHeight="1" x14ac:dyDescent="0.25">
      <c r="A29" s="50"/>
      <c r="B29" s="198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4"/>
      <c r="N29" s="84"/>
      <c r="O29" s="84"/>
      <c r="P29"/>
      <c r="Q29" s="84"/>
      <c r="R29"/>
      <c r="S29" s="84"/>
    </row>
    <row r="30" spans="1:20" ht="15" customHeight="1" x14ac:dyDescent="0.25">
      <c r="A30" s="85"/>
      <c r="B30" s="198"/>
      <c r="C30" s="9" t="str">
        <f t="shared" ref="C30:N30" si="12">+C4</f>
        <v>ACTUAL</v>
      </c>
      <c r="D30" s="9" t="str">
        <f t="shared" si="12"/>
        <v>ACTUAL</v>
      </c>
      <c r="E30" s="9" t="str">
        <f t="shared" si="12"/>
        <v>ACTUAL</v>
      </c>
      <c r="F30" s="10" t="str">
        <f t="shared" si="12"/>
        <v>ACTUAL</v>
      </c>
      <c r="G30" s="10" t="str">
        <f t="shared" si="12"/>
        <v>ACTUAL</v>
      </c>
      <c r="H30" s="10" t="str">
        <f t="shared" si="12"/>
        <v xml:space="preserve">FORECAST </v>
      </c>
      <c r="I30" s="10" t="str">
        <f t="shared" si="12"/>
        <v xml:space="preserve">FORECAST </v>
      </c>
      <c r="J30" s="10" t="str">
        <f t="shared" si="12"/>
        <v xml:space="preserve">FORECAST </v>
      </c>
      <c r="K30" s="10" t="str">
        <f t="shared" si="12"/>
        <v xml:space="preserve">FORECAST </v>
      </c>
      <c r="L30" s="10" t="str">
        <f t="shared" si="12"/>
        <v xml:space="preserve">FORECAST </v>
      </c>
      <c r="M30" s="10" t="str">
        <f t="shared" si="12"/>
        <v xml:space="preserve">FORECAST </v>
      </c>
      <c r="N30" s="10" t="str">
        <f t="shared" si="12"/>
        <v xml:space="preserve">FORECAST </v>
      </c>
      <c r="O30" s="87"/>
      <c r="P30"/>
      <c r="Q30" s="88" t="s">
        <v>1</v>
      </c>
      <c r="R30"/>
      <c r="S30" s="87"/>
    </row>
    <row r="31" spans="1:20" ht="15" customHeight="1" x14ac:dyDescent="0.25">
      <c r="A31" s="85"/>
      <c r="B31" s="510" t="s">
        <v>33</v>
      </c>
      <c r="C31" s="13">
        <v>2026</v>
      </c>
      <c r="D31" s="13">
        <v>2026</v>
      </c>
      <c r="E31" s="13">
        <v>2026</v>
      </c>
      <c r="F31" s="13">
        <v>2026</v>
      </c>
      <c r="G31" s="13">
        <v>2026</v>
      </c>
      <c r="H31" s="13">
        <v>2026</v>
      </c>
      <c r="I31" s="13">
        <v>2026</v>
      </c>
      <c r="J31" s="13">
        <v>2026</v>
      </c>
      <c r="K31" s="13">
        <v>2026</v>
      </c>
      <c r="L31" s="13">
        <v>2026</v>
      </c>
      <c r="M31" s="13">
        <v>2026</v>
      </c>
      <c r="N31" s="89">
        <v>2026</v>
      </c>
      <c r="O31" s="90"/>
      <c r="P31"/>
      <c r="Q31" s="91">
        <v>2026</v>
      </c>
      <c r="R31"/>
    </row>
    <row r="32" spans="1:20" ht="15" customHeight="1" outlineLevel="2" x14ac:dyDescent="0.25">
      <c r="A32" s="68"/>
      <c r="B32" s="511"/>
      <c r="C32" s="176" t="s">
        <v>3</v>
      </c>
      <c r="D32" s="92" t="s">
        <v>4</v>
      </c>
      <c r="E32" s="92" t="s">
        <v>5</v>
      </c>
      <c r="F32" s="92" t="s">
        <v>6</v>
      </c>
      <c r="G32" s="92" t="s">
        <v>7</v>
      </c>
      <c r="H32" s="92" t="s">
        <v>8</v>
      </c>
      <c r="I32" s="92" t="s">
        <v>9</v>
      </c>
      <c r="J32" s="92" t="s">
        <v>10</v>
      </c>
      <c r="K32" s="92" t="s">
        <v>11</v>
      </c>
      <c r="L32" s="92" t="s">
        <v>12</v>
      </c>
      <c r="M32" s="92" t="s">
        <v>13</v>
      </c>
      <c r="N32" s="93" t="s">
        <v>14</v>
      </c>
      <c r="O32" s="94"/>
      <c r="P32"/>
      <c r="Q32" s="88" t="s">
        <v>15</v>
      </c>
      <c r="R32"/>
    </row>
    <row r="33" spans="1:20" ht="15" customHeight="1" outlineLevel="2" x14ac:dyDescent="0.25">
      <c r="A33" s="68"/>
      <c r="B33" s="199" t="s">
        <v>34</v>
      </c>
      <c r="C33" s="96">
        <f>+SUM(C34:C36)</f>
        <v>0</v>
      </c>
      <c r="D33" s="96" t="e">
        <f>+SUM(D34:D36)</f>
        <v>#REF!</v>
      </c>
      <c r="E33" s="96">
        <f>+SUM(E34:E36)</f>
        <v>100000</v>
      </c>
      <c r="F33" s="96">
        <f t="shared" ref="F33:N33" si="13">+F8</f>
        <v>26753</v>
      </c>
      <c r="G33" s="96">
        <f t="shared" si="13"/>
        <v>20641</v>
      </c>
      <c r="H33" s="96">
        <f t="shared" si="13"/>
        <v>0</v>
      </c>
      <c r="I33" s="96">
        <f t="shared" si="13"/>
        <v>0</v>
      </c>
      <c r="J33" s="96">
        <f t="shared" si="13"/>
        <v>0</v>
      </c>
      <c r="K33" s="96">
        <f t="shared" si="13"/>
        <v>0</v>
      </c>
      <c r="L33" s="96">
        <f t="shared" si="13"/>
        <v>0</v>
      </c>
      <c r="M33" s="96">
        <f t="shared" si="13"/>
        <v>0</v>
      </c>
      <c r="N33" s="96">
        <f t="shared" si="13"/>
        <v>0</v>
      </c>
      <c r="O33" s="97"/>
      <c r="P33"/>
      <c r="Q33" s="98"/>
      <c r="R33"/>
    </row>
    <row r="34" spans="1:20" ht="15" customHeight="1" outlineLevel="2" x14ac:dyDescent="0.25">
      <c r="A34" s="68"/>
      <c r="B34" s="200" t="s">
        <v>35</v>
      </c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97"/>
      <c r="P34"/>
      <c r="Q34" s="101"/>
      <c r="R34"/>
    </row>
    <row r="35" spans="1:20" ht="15" customHeight="1" outlineLevel="2" x14ac:dyDescent="0.25">
      <c r="A35" s="68"/>
      <c r="B35" s="200" t="s">
        <v>36</v>
      </c>
      <c r="C35" s="177"/>
      <c r="D35" s="102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97"/>
      <c r="P35"/>
      <c r="Q35" s="103"/>
      <c r="R35"/>
    </row>
    <row r="36" spans="1:20" ht="15" customHeight="1" outlineLevel="2" x14ac:dyDescent="0.25">
      <c r="A36" s="68"/>
      <c r="B36" s="201" t="s">
        <v>37</v>
      </c>
      <c r="C36" s="105"/>
      <c r="D36" s="105" t="e">
        <f>+#REF!</f>
        <v>#REF!</v>
      </c>
      <c r="E36" s="105">
        <v>100000</v>
      </c>
      <c r="F36" s="105"/>
      <c r="G36" s="105"/>
      <c r="H36" s="105"/>
      <c r="I36" s="105"/>
      <c r="J36" s="105"/>
      <c r="K36" s="105"/>
      <c r="L36" s="105"/>
      <c r="M36" s="105"/>
      <c r="N36" s="105"/>
      <c r="O36" s="97"/>
      <c r="P36"/>
      <c r="Q36" s="101"/>
      <c r="R36"/>
    </row>
    <row r="37" spans="1:20" ht="15" customHeight="1" outlineLevel="2" x14ac:dyDescent="0.25">
      <c r="A37" s="68"/>
      <c r="B37" s="202" t="s">
        <v>38</v>
      </c>
      <c r="C37" s="178">
        <f t="shared" ref="C37:N37" si="14">+SUM(C38:C41)</f>
        <v>0</v>
      </c>
      <c r="D37" s="107">
        <f t="shared" si="14"/>
        <v>0</v>
      </c>
      <c r="E37" s="107">
        <f t="shared" si="14"/>
        <v>0</v>
      </c>
      <c r="F37" s="107">
        <f t="shared" si="14"/>
        <v>0</v>
      </c>
      <c r="G37" s="107">
        <f t="shared" si="14"/>
        <v>0</v>
      </c>
      <c r="H37" s="107">
        <f t="shared" si="14"/>
        <v>0</v>
      </c>
      <c r="I37" s="107">
        <f t="shared" si="14"/>
        <v>0</v>
      </c>
      <c r="J37" s="107">
        <f t="shared" si="14"/>
        <v>0</v>
      </c>
      <c r="K37" s="107">
        <f t="shared" si="14"/>
        <v>0</v>
      </c>
      <c r="L37" s="107">
        <f t="shared" si="14"/>
        <v>0</v>
      </c>
      <c r="M37" s="107">
        <f t="shared" si="14"/>
        <v>0</v>
      </c>
      <c r="N37" s="108">
        <f t="shared" si="14"/>
        <v>0</v>
      </c>
      <c r="O37" s="97"/>
      <c r="P37"/>
      <c r="Q37" s="98"/>
      <c r="R37"/>
    </row>
    <row r="38" spans="1:20" ht="15" customHeight="1" outlineLevel="2" x14ac:dyDescent="0.25">
      <c r="A38" s="68"/>
      <c r="B38" s="203" t="s">
        <v>39</v>
      </c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110"/>
      <c r="P38"/>
      <c r="Q38" s="111"/>
      <c r="R38"/>
    </row>
    <row r="39" spans="1:20" ht="15" customHeight="1" outlineLevel="2" x14ac:dyDescent="0.25">
      <c r="A39" s="68"/>
      <c r="B39" s="203" t="s">
        <v>40</v>
      </c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110"/>
      <c r="P39"/>
      <c r="Q39" s="111"/>
      <c r="R39"/>
    </row>
    <row r="40" spans="1:20" ht="15" customHeight="1" x14ac:dyDescent="0.25">
      <c r="A40" s="85"/>
      <c r="B40" s="203" t="s">
        <v>41</v>
      </c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110"/>
      <c r="P40"/>
      <c r="Q40" s="111"/>
      <c r="R40"/>
    </row>
    <row r="41" spans="1:20" ht="15" customHeight="1" x14ac:dyDescent="0.25">
      <c r="A41" s="50"/>
      <c r="B41" s="204" t="s">
        <v>42</v>
      </c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110"/>
      <c r="P41"/>
      <c r="Q41" s="111"/>
      <c r="R41"/>
    </row>
    <row r="42" spans="1:20" ht="15" customHeight="1" x14ac:dyDescent="0.25">
      <c r="A42" s="85"/>
      <c r="B42" s="205" t="s">
        <v>43</v>
      </c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/>
      <c r="Q42" s="114"/>
      <c r="R42"/>
    </row>
    <row r="43" spans="1:20" ht="15" customHeight="1" x14ac:dyDescent="0.25">
      <c r="A43" s="85"/>
      <c r="B43" s="202" t="s">
        <v>44</v>
      </c>
      <c r="C43" s="179">
        <f t="shared" ref="C43:N43" si="15">+C37+C42</f>
        <v>0</v>
      </c>
      <c r="D43" s="117">
        <f t="shared" si="15"/>
        <v>0</v>
      </c>
      <c r="E43" s="117">
        <f t="shared" si="15"/>
        <v>0</v>
      </c>
      <c r="F43" s="117">
        <f t="shared" si="15"/>
        <v>0</v>
      </c>
      <c r="G43" s="117">
        <f t="shared" si="15"/>
        <v>0</v>
      </c>
      <c r="H43" s="117">
        <f t="shared" si="15"/>
        <v>0</v>
      </c>
      <c r="I43" s="117">
        <f t="shared" si="15"/>
        <v>0</v>
      </c>
      <c r="J43" s="117">
        <f t="shared" si="15"/>
        <v>0</v>
      </c>
      <c r="K43" s="117">
        <f t="shared" si="15"/>
        <v>0</v>
      </c>
      <c r="L43" s="117">
        <f t="shared" si="15"/>
        <v>0</v>
      </c>
      <c r="M43" s="117">
        <f t="shared" si="15"/>
        <v>0</v>
      </c>
      <c r="N43" s="118">
        <f t="shared" si="15"/>
        <v>0</v>
      </c>
      <c r="O43" s="97"/>
      <c r="P43"/>
      <c r="Q43" s="119">
        <f>+Q37+Q42</f>
        <v>0</v>
      </c>
      <c r="R43"/>
    </row>
    <row r="44" spans="1:20" s="127" customFormat="1" ht="15" customHeight="1" x14ac:dyDescent="0.25">
      <c r="A44" s="71"/>
      <c r="B44" s="206" t="s">
        <v>45</v>
      </c>
      <c r="C44" s="121"/>
      <c r="D44" s="121" t="e">
        <f>+#REF!</f>
        <v>#REF!</v>
      </c>
      <c r="E44" s="121" t="e">
        <f>+#REF!</f>
        <v>#REF!</v>
      </c>
      <c r="F44" s="121" t="e">
        <f>+#REF!</f>
        <v>#REF!</v>
      </c>
      <c r="G44" s="121" t="e">
        <f>+#REF!</f>
        <v>#REF!</v>
      </c>
      <c r="H44" s="121" t="e">
        <f>+#REF!</f>
        <v>#REF!</v>
      </c>
      <c r="I44" s="121" t="e">
        <f>+#REF!</f>
        <v>#REF!</v>
      </c>
      <c r="J44" s="121" t="e">
        <f>+#REF!</f>
        <v>#REF!</v>
      </c>
      <c r="K44" s="121" t="e">
        <f>+#REF!</f>
        <v>#REF!</v>
      </c>
      <c r="L44" s="121" t="e">
        <f>+#REF!</f>
        <v>#REF!</v>
      </c>
      <c r="M44" s="121" t="e">
        <f>+#REF!</f>
        <v>#REF!</v>
      </c>
      <c r="N44" s="121" t="e">
        <f>+#REF!</f>
        <v>#REF!</v>
      </c>
      <c r="O44" s="124"/>
      <c r="P44" s="125"/>
      <c r="Q44" s="126"/>
      <c r="R44" s="125"/>
      <c r="S44" s="5"/>
      <c r="T44" s="5"/>
    </row>
    <row r="45" spans="1:20" ht="15" customHeight="1" x14ac:dyDescent="0.25">
      <c r="B45" s="207" t="s">
        <v>46</v>
      </c>
      <c r="C45" s="180">
        <f t="shared" ref="C45:N45" si="16">C33+C43+C44</f>
        <v>0</v>
      </c>
      <c r="D45" s="107" t="e">
        <f t="shared" si="16"/>
        <v>#REF!</v>
      </c>
      <c r="E45" s="107" t="e">
        <f t="shared" si="16"/>
        <v>#REF!</v>
      </c>
      <c r="F45" s="107" t="e">
        <f t="shared" si="16"/>
        <v>#REF!</v>
      </c>
      <c r="G45" s="107" t="e">
        <f t="shared" si="16"/>
        <v>#REF!</v>
      </c>
      <c r="H45" s="107" t="e">
        <f t="shared" si="16"/>
        <v>#REF!</v>
      </c>
      <c r="I45" s="107" t="e">
        <f t="shared" si="16"/>
        <v>#REF!</v>
      </c>
      <c r="J45" s="107" t="e">
        <f t="shared" si="16"/>
        <v>#REF!</v>
      </c>
      <c r="K45" s="107" t="e">
        <f t="shared" si="16"/>
        <v>#REF!</v>
      </c>
      <c r="L45" s="107" t="e">
        <f t="shared" si="16"/>
        <v>#REF!</v>
      </c>
      <c r="M45" s="107" t="e">
        <f t="shared" si="16"/>
        <v>#REF!</v>
      </c>
      <c r="N45" s="108" t="e">
        <f t="shared" si="16"/>
        <v>#REF!</v>
      </c>
      <c r="O45" s="97"/>
      <c r="P45"/>
      <c r="Q45" s="130">
        <f>Q33+Q43+Q44</f>
        <v>0</v>
      </c>
      <c r="R45"/>
    </row>
    <row r="46" spans="1:20" s="34" customFormat="1" ht="15" customHeight="1" x14ac:dyDescent="0.25">
      <c r="B46" s="208"/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132"/>
      <c r="Q46" s="97"/>
      <c r="R46" s="132"/>
    </row>
    <row r="47" spans="1:20" s="34" customFormat="1" ht="15" customHeight="1" x14ac:dyDescent="0.25">
      <c r="B47" s="208"/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132"/>
      <c r="Q47" s="97"/>
      <c r="R47" s="132"/>
    </row>
    <row r="48" spans="1:20" s="34" customFormat="1" ht="15" customHeight="1" x14ac:dyDescent="0.25">
      <c r="B48" s="209"/>
      <c r="C48" s="9" t="str">
        <f t="shared" ref="C48:N48" si="17">+C4</f>
        <v>ACTUAL</v>
      </c>
      <c r="D48" s="9" t="str">
        <f t="shared" si="17"/>
        <v>ACTUAL</v>
      </c>
      <c r="E48" s="9" t="str">
        <f t="shared" si="17"/>
        <v>ACTUAL</v>
      </c>
      <c r="F48" s="9" t="str">
        <f t="shared" si="17"/>
        <v>ACTUAL</v>
      </c>
      <c r="G48" s="10" t="str">
        <f t="shared" si="17"/>
        <v>ACTUAL</v>
      </c>
      <c r="H48" s="10" t="str">
        <f t="shared" si="17"/>
        <v xml:space="preserve">FORECAST </v>
      </c>
      <c r="I48" s="10" t="str">
        <f t="shared" si="17"/>
        <v xml:space="preserve">FORECAST </v>
      </c>
      <c r="J48" s="10" t="str">
        <f t="shared" si="17"/>
        <v xml:space="preserve">FORECAST </v>
      </c>
      <c r="K48" s="10" t="str">
        <f t="shared" si="17"/>
        <v xml:space="preserve">FORECAST </v>
      </c>
      <c r="L48" s="10" t="str">
        <f t="shared" si="17"/>
        <v xml:space="preserve">FORECAST </v>
      </c>
      <c r="M48" s="10" t="str">
        <f t="shared" si="17"/>
        <v xml:space="preserve">FORECAST </v>
      </c>
      <c r="N48" s="10" t="str">
        <f t="shared" si="17"/>
        <v xml:space="preserve">FORECAST </v>
      </c>
      <c r="P48" s="132"/>
      <c r="R48" s="132"/>
    </row>
    <row r="49" spans="1:18" ht="15" customHeight="1" x14ac:dyDescent="0.25">
      <c r="A49" s="85"/>
      <c r="B49" s="510" t="s">
        <v>55</v>
      </c>
      <c r="C49" s="13">
        <v>2026</v>
      </c>
      <c r="D49" s="13">
        <v>2026</v>
      </c>
      <c r="E49" s="13">
        <v>2026</v>
      </c>
      <c r="F49" s="13">
        <v>2026</v>
      </c>
      <c r="G49" s="13">
        <v>2026</v>
      </c>
      <c r="H49" s="13">
        <v>2026</v>
      </c>
      <c r="I49" s="13">
        <v>2026</v>
      </c>
      <c r="J49" s="13">
        <v>2026</v>
      </c>
      <c r="K49" s="13">
        <v>2026</v>
      </c>
      <c r="L49" s="13">
        <v>2026</v>
      </c>
      <c r="M49" s="13">
        <v>2026</v>
      </c>
      <c r="N49" s="89">
        <v>2026</v>
      </c>
      <c r="O49" s="90"/>
      <c r="P49"/>
      <c r="R49"/>
    </row>
    <row r="50" spans="1:18" ht="15" customHeight="1" x14ac:dyDescent="0.25">
      <c r="A50" s="68"/>
      <c r="B50" s="511"/>
      <c r="C50" s="176" t="s">
        <v>3</v>
      </c>
      <c r="D50" s="92" t="s">
        <v>4</v>
      </c>
      <c r="E50" s="92" t="s">
        <v>5</v>
      </c>
      <c r="F50" s="92" t="s">
        <v>6</v>
      </c>
      <c r="G50" s="92" t="s">
        <v>7</v>
      </c>
      <c r="H50" s="92" t="s">
        <v>8</v>
      </c>
      <c r="I50" s="92" t="s">
        <v>9</v>
      </c>
      <c r="J50" s="92" t="s">
        <v>10</v>
      </c>
      <c r="K50" s="92" t="s">
        <v>11</v>
      </c>
      <c r="L50" s="92" t="s">
        <v>12</v>
      </c>
      <c r="M50" s="92" t="s">
        <v>13</v>
      </c>
      <c r="N50" s="93" t="s">
        <v>14</v>
      </c>
      <c r="O50" s="94"/>
    </row>
    <row r="51" spans="1:18" ht="15" customHeight="1" x14ac:dyDescent="0.25">
      <c r="B51" s="210" t="s">
        <v>69</v>
      </c>
      <c r="C51" s="5">
        <v>1164</v>
      </c>
      <c r="D51" s="5">
        <v>989</v>
      </c>
      <c r="E51" s="5">
        <v>1212</v>
      </c>
      <c r="F51" s="5">
        <v>1224</v>
      </c>
      <c r="G51" s="5">
        <v>959</v>
      </c>
    </row>
    <row r="52" spans="1:18" ht="15" customHeight="1" x14ac:dyDescent="0.25">
      <c r="B52" s="185" t="s">
        <v>17</v>
      </c>
    </row>
    <row r="53" spans="1:18" ht="15" customHeight="1" x14ac:dyDescent="0.25">
      <c r="B53" s="210"/>
    </row>
    <row r="54" spans="1:18" ht="15" customHeight="1" x14ac:dyDescent="0.25">
      <c r="B54" s="210" t="s">
        <v>70</v>
      </c>
      <c r="C54" s="142" t="s">
        <v>71</v>
      </c>
      <c r="D54" s="142" t="s">
        <v>72</v>
      </c>
      <c r="E54" s="142" t="s">
        <v>73</v>
      </c>
      <c r="F54" s="142" t="s">
        <v>74</v>
      </c>
      <c r="G54" s="5" t="s">
        <v>75</v>
      </c>
    </row>
    <row r="55" spans="1:18" ht="15" customHeight="1" x14ac:dyDescent="0.25">
      <c r="B55" s="185" t="s">
        <v>17</v>
      </c>
    </row>
    <row r="56" spans="1:18" s="132" customFormat="1" ht="15" customHeight="1" x14ac:dyDescent="0.25">
      <c r="B56" s="211"/>
      <c r="E56" s="133"/>
    </row>
    <row r="57" spans="1:18" s="132" customFormat="1" ht="15" customHeight="1" x14ac:dyDescent="0.25">
      <c r="B57" s="211" t="s">
        <v>76</v>
      </c>
      <c r="C57" s="132">
        <v>149</v>
      </c>
      <c r="D57" s="132">
        <v>181</v>
      </c>
      <c r="E57" s="132">
        <v>170</v>
      </c>
      <c r="F57" s="132">
        <v>196</v>
      </c>
      <c r="G57" s="132">
        <v>243</v>
      </c>
    </row>
    <row r="58" spans="1:18" s="132" customFormat="1" ht="15" customHeight="1" x14ac:dyDescent="0.25">
      <c r="B58" s="211"/>
    </row>
    <row r="59" spans="1:18" ht="15" customHeight="1" x14ac:dyDescent="0.25">
      <c r="B59" s="212" t="s">
        <v>77</v>
      </c>
      <c r="C59" s="132">
        <v>945</v>
      </c>
      <c r="D59" s="132">
        <v>771</v>
      </c>
      <c r="E59" s="132">
        <v>911</v>
      </c>
      <c r="F59" s="132">
        <v>809</v>
      </c>
      <c r="G59" s="5">
        <v>1164</v>
      </c>
    </row>
    <row r="60" spans="1:18" ht="15" customHeight="1" x14ac:dyDescent="0.25">
      <c r="B60" s="212"/>
      <c r="C60" s="136"/>
      <c r="D60" s="136"/>
      <c r="E60" s="135"/>
    </row>
    <row r="61" spans="1:18" ht="15" customHeight="1" x14ac:dyDescent="0.25">
      <c r="B61" s="512" t="s">
        <v>60</v>
      </c>
      <c r="C61" s="513"/>
      <c r="D61" s="513"/>
      <c r="E61" s="513"/>
      <c r="F61" s="513"/>
      <c r="G61" s="513"/>
      <c r="H61" s="513"/>
      <c r="I61" s="513"/>
      <c r="J61" s="513"/>
      <c r="K61" s="513"/>
      <c r="L61" s="513"/>
      <c r="M61" s="513"/>
      <c r="N61" s="514"/>
    </row>
    <row r="62" spans="1:18" ht="15" customHeight="1" x14ac:dyDescent="0.25">
      <c r="B62" s="210" t="s">
        <v>78</v>
      </c>
      <c r="C62" s="137" t="s">
        <v>79</v>
      </c>
      <c r="D62" s="137" t="s">
        <v>80</v>
      </c>
      <c r="E62" s="138" t="s">
        <v>80</v>
      </c>
      <c r="F62" s="138" t="s">
        <v>81</v>
      </c>
      <c r="G62" s="220" t="s">
        <v>82</v>
      </c>
    </row>
    <row r="63" spans="1:18" ht="15" customHeight="1" x14ac:dyDescent="0.25">
      <c r="B63" s="210"/>
      <c r="C63" s="137"/>
      <c r="D63" s="137"/>
      <c r="E63" s="138"/>
    </row>
    <row r="64" spans="1:18" ht="15" customHeight="1" x14ac:dyDescent="0.25">
      <c r="B64" s="210" t="s">
        <v>83</v>
      </c>
      <c r="C64" s="137">
        <v>36</v>
      </c>
      <c r="D64" s="137">
        <v>36</v>
      </c>
      <c r="E64" s="137">
        <v>30</v>
      </c>
      <c r="F64" s="137">
        <v>26</v>
      </c>
      <c r="G64" s="5">
        <v>25</v>
      </c>
    </row>
    <row r="65" spans="2:7" ht="15" customHeight="1" x14ac:dyDescent="0.25">
      <c r="B65" s="210"/>
      <c r="C65" s="137"/>
      <c r="D65" s="137"/>
      <c r="E65" s="139"/>
    </row>
    <row r="66" spans="2:7" ht="15" customHeight="1" x14ac:dyDescent="0.25">
      <c r="B66" s="210" t="s">
        <v>84</v>
      </c>
      <c r="C66" s="5" t="s">
        <v>85</v>
      </c>
      <c r="D66" s="5" t="s">
        <v>86</v>
      </c>
      <c r="E66" s="5" t="s">
        <v>87</v>
      </c>
      <c r="F66" s="5" t="s">
        <v>87</v>
      </c>
      <c r="G66" s="5" t="s">
        <v>87</v>
      </c>
    </row>
    <row r="67" spans="2:7" ht="15" customHeight="1" x14ac:dyDescent="0.25">
      <c r="B67" s="210"/>
    </row>
    <row r="68" spans="2:7" ht="15" customHeight="1" x14ac:dyDescent="0.25">
      <c r="B68" s="210" t="s">
        <v>88</v>
      </c>
      <c r="C68" s="143">
        <v>0.04</v>
      </c>
      <c r="D68" s="143">
        <v>-0.08</v>
      </c>
      <c r="E68" s="143">
        <v>-0.04</v>
      </c>
      <c r="F68" s="143">
        <v>-0.17</v>
      </c>
      <c r="G68" s="143">
        <v>-0.17</v>
      </c>
    </row>
  </sheetData>
  <mergeCells count="4">
    <mergeCell ref="B5:B6"/>
    <mergeCell ref="B31:B32"/>
    <mergeCell ref="B49:B50"/>
    <mergeCell ref="B61:N6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0156C-17EF-4760-96B2-55CE0C06D156}">
  <sheetPr>
    <outlinePr summaryBelow="0" summaryRight="0"/>
    <pageSetUpPr fitToPage="1"/>
  </sheetPr>
  <dimension ref="A1:U68"/>
  <sheetViews>
    <sheetView showGridLines="0" zoomScale="90" zoomScaleNormal="90" workbookViewId="0">
      <pane ySplit="6" topLeftCell="A7" activePane="bottomLeft" state="frozen"/>
      <selection pane="bottomLeft" activeCell="T24" sqref="T24"/>
    </sheetView>
  </sheetViews>
  <sheetFormatPr baseColWidth="10" defaultColWidth="14.42578125" defaultRowHeight="15" customHeight="1" outlineLevelRow="2" outlineLevelCol="1" x14ac:dyDescent="0.25"/>
  <cols>
    <col min="1" max="1" width="4.42578125" style="5" customWidth="1"/>
    <col min="2" max="2" width="38.5703125" style="5" bestFit="1" customWidth="1"/>
    <col min="3" max="3" width="10.28515625" style="5" customWidth="1" outlineLevel="1"/>
    <col min="4" max="4" width="10.5703125" style="5" customWidth="1" outlineLevel="1"/>
    <col min="5" max="5" width="10.140625" style="5" customWidth="1" outlineLevel="1"/>
    <col min="6" max="12" width="10.7109375" style="5" customWidth="1" outlineLevel="1"/>
    <col min="13" max="13" width="9.28515625" style="5" customWidth="1" outlineLevel="1"/>
    <col min="14" max="14" width="10.28515625" style="5" customWidth="1" outlineLevel="1"/>
    <col min="15" max="15" width="13.140625" style="5" bestFit="1" customWidth="1"/>
    <col min="16" max="16" width="3.5703125" style="5" customWidth="1"/>
    <col min="17" max="17" width="12.7109375" style="5" customWidth="1"/>
    <col min="18" max="18" width="1" style="5" customWidth="1"/>
    <col min="19" max="19" width="12.7109375" style="5" customWidth="1"/>
    <col min="20" max="20" width="33.85546875" style="5" customWidth="1"/>
    <col min="21" max="16384" width="14.42578125" style="5"/>
  </cols>
  <sheetData>
    <row r="1" spans="1:21" ht="9.75" customHeight="1" x14ac:dyDescent="0.25"/>
    <row r="2" spans="1:21" ht="27.75" customHeight="1" x14ac:dyDescent="0.25">
      <c r="A2" s="221"/>
      <c r="B2" s="222" t="s">
        <v>65</v>
      </c>
      <c r="C2" s="223" t="s">
        <v>93</v>
      </c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13"/>
      <c r="Q2" s="225"/>
      <c r="R2" s="213"/>
      <c r="S2" s="225"/>
      <c r="T2" s="215"/>
    </row>
    <row r="3" spans="1:21" ht="26.25" customHeight="1" x14ac:dyDescent="0.25">
      <c r="A3" s="221"/>
      <c r="B3" s="226"/>
      <c r="C3" s="227"/>
      <c r="D3" s="227"/>
      <c r="E3" s="227"/>
      <c r="F3" s="227"/>
      <c r="G3" s="227"/>
      <c r="H3" s="227"/>
      <c r="I3" s="227"/>
      <c r="J3" s="227"/>
      <c r="K3" s="227"/>
      <c r="L3" s="227"/>
      <c r="M3" s="228"/>
      <c r="N3" s="228"/>
      <c r="O3" s="228"/>
      <c r="P3"/>
      <c r="Q3" s="228"/>
      <c r="R3"/>
      <c r="S3" s="228"/>
    </row>
    <row r="4" spans="1:21" ht="15.75" customHeight="1" x14ac:dyDescent="0.25">
      <c r="A4" s="229"/>
      <c r="B4" s="230"/>
      <c r="C4" s="231" t="s">
        <v>49</v>
      </c>
      <c r="D4" s="231" t="s">
        <v>49</v>
      </c>
      <c r="E4" s="231" t="s">
        <v>49</v>
      </c>
      <c r="F4" s="231" t="s">
        <v>49</v>
      </c>
      <c r="G4" s="232" t="s">
        <v>51</v>
      </c>
      <c r="H4" s="232" t="s">
        <v>51</v>
      </c>
      <c r="I4" s="232" t="s">
        <v>51</v>
      </c>
      <c r="J4" s="232" t="s">
        <v>51</v>
      </c>
      <c r="K4" s="232" t="s">
        <v>51</v>
      </c>
      <c r="L4" s="232" t="s">
        <v>51</v>
      </c>
      <c r="M4" s="232" t="s">
        <v>51</v>
      </c>
      <c r="N4" s="232" t="s">
        <v>51</v>
      </c>
      <c r="O4" s="233" t="s">
        <v>67</v>
      </c>
      <c r="P4"/>
      <c r="Q4" s="234" t="s">
        <v>1</v>
      </c>
      <c r="R4"/>
    </row>
    <row r="5" spans="1:21" ht="15.75" customHeight="1" x14ac:dyDescent="0.25">
      <c r="A5" s="235"/>
      <c r="B5" s="523" t="s">
        <v>2</v>
      </c>
      <c r="C5" s="236">
        <v>2026</v>
      </c>
      <c r="D5" s="236">
        <v>2026</v>
      </c>
      <c r="E5" s="236">
        <v>2026</v>
      </c>
      <c r="F5" s="236">
        <v>2026</v>
      </c>
      <c r="G5" s="236">
        <v>2026</v>
      </c>
      <c r="H5" s="236">
        <v>2026</v>
      </c>
      <c r="I5" s="236">
        <v>2026</v>
      </c>
      <c r="J5" s="236">
        <v>2026</v>
      </c>
      <c r="K5" s="236">
        <v>2026</v>
      </c>
      <c r="L5" s="236">
        <v>2026</v>
      </c>
      <c r="M5" s="236">
        <v>2026</v>
      </c>
      <c r="N5" s="236">
        <v>2026</v>
      </c>
      <c r="O5" s="237">
        <v>2026</v>
      </c>
      <c r="P5"/>
      <c r="Q5" s="231">
        <v>2026</v>
      </c>
      <c r="R5"/>
    </row>
    <row r="6" spans="1:21" ht="12.75" customHeight="1" x14ac:dyDescent="0.3">
      <c r="A6" s="238"/>
      <c r="B6" s="524"/>
      <c r="C6" s="239" t="s">
        <v>3</v>
      </c>
      <c r="D6" s="240" t="s">
        <v>4</v>
      </c>
      <c r="E6" s="240" t="s">
        <v>5</v>
      </c>
      <c r="F6" s="240" t="s">
        <v>6</v>
      </c>
      <c r="G6" s="240" t="s">
        <v>7</v>
      </c>
      <c r="H6" s="240" t="s">
        <v>8</v>
      </c>
      <c r="I6" s="240" t="s">
        <v>9</v>
      </c>
      <c r="J6" s="240" t="s">
        <v>10</v>
      </c>
      <c r="K6" s="240" t="s">
        <v>11</v>
      </c>
      <c r="L6" s="240" t="s">
        <v>12</v>
      </c>
      <c r="M6" s="240" t="s">
        <v>13</v>
      </c>
      <c r="N6" s="240" t="s">
        <v>14</v>
      </c>
      <c r="O6" s="232" t="s">
        <v>15</v>
      </c>
      <c r="P6"/>
      <c r="Q6" s="234" t="s">
        <v>15</v>
      </c>
      <c r="R6"/>
      <c r="S6" s="234" t="s">
        <v>53</v>
      </c>
      <c r="T6" s="232" t="s">
        <v>54</v>
      </c>
    </row>
    <row r="7" spans="1:21" ht="9.6" customHeight="1" x14ac:dyDescent="0.25">
      <c r="A7" s="241"/>
      <c r="B7" s="242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/>
      <c r="Q7" s="20"/>
      <c r="R7"/>
      <c r="S7" s="20"/>
      <c r="T7" s="243"/>
    </row>
    <row r="8" spans="1:21" ht="15.75" customHeight="1" x14ac:dyDescent="0.25">
      <c r="A8" s="362"/>
      <c r="B8" s="244" t="s">
        <v>16</v>
      </c>
      <c r="C8" s="245">
        <v>40598</v>
      </c>
      <c r="D8" s="245">
        <v>46039</v>
      </c>
      <c r="E8" s="245">
        <v>42218</v>
      </c>
      <c r="F8" s="245">
        <v>26686</v>
      </c>
      <c r="G8" s="245">
        <v>140596</v>
      </c>
      <c r="H8" s="245">
        <v>153230</v>
      </c>
      <c r="I8" s="245">
        <v>164773</v>
      </c>
      <c r="J8" s="245">
        <v>190082</v>
      </c>
      <c r="K8" s="245">
        <v>156685</v>
      </c>
      <c r="L8" s="245">
        <v>165023</v>
      </c>
      <c r="M8" s="245">
        <v>154639</v>
      </c>
      <c r="N8" s="245">
        <v>131178</v>
      </c>
      <c r="O8" s="245">
        <f>+SUM(C8:N8)</f>
        <v>1411747</v>
      </c>
      <c r="P8" s="24"/>
      <c r="Q8" s="359">
        <v>1535250</v>
      </c>
      <c r="R8" s="24"/>
      <c r="S8" s="246">
        <f>+O8-Q8</f>
        <v>-123503</v>
      </c>
      <c r="T8" s="247"/>
      <c r="U8" s="248"/>
    </row>
    <row r="9" spans="1:21" ht="15.75" customHeight="1" x14ac:dyDescent="0.25">
      <c r="A9" s="249"/>
      <c r="B9" s="250" t="s">
        <v>17</v>
      </c>
      <c r="C9" s="251" t="str">
        <f t="shared" ref="C9:N9" si="0">IFERROR((C8/B8)-1,"na")</f>
        <v>na</v>
      </c>
      <c r="D9" s="251">
        <f t="shared" si="0"/>
        <v>0.13402138036356481</v>
      </c>
      <c r="E9" s="251">
        <f t="shared" si="0"/>
        <v>-8.2994852190534152E-2</v>
      </c>
      <c r="F9" s="251">
        <f t="shared" si="0"/>
        <v>-0.36789994788952585</v>
      </c>
      <c r="G9" s="251">
        <f t="shared" si="0"/>
        <v>4.2685303155212475</v>
      </c>
      <c r="H9" s="251">
        <f t="shared" si="0"/>
        <v>8.9860308970383329E-2</v>
      </c>
      <c r="I9" s="251">
        <f t="shared" si="0"/>
        <v>7.5331201461854791E-2</v>
      </c>
      <c r="J9" s="251">
        <f t="shared" si="0"/>
        <v>0.15359919404271327</v>
      </c>
      <c r="K9" s="251">
        <f t="shared" si="0"/>
        <v>-0.17569785671447058</v>
      </c>
      <c r="L9" s="251">
        <f t="shared" si="0"/>
        <v>5.3215049302741235E-2</v>
      </c>
      <c r="M9" s="251">
        <f t="shared" si="0"/>
        <v>-6.2924562030747255E-2</v>
      </c>
      <c r="N9" s="251">
        <f t="shared" si="0"/>
        <v>-0.15171463860992374</v>
      </c>
      <c r="O9" s="251"/>
      <c r="P9" s="24"/>
      <c r="Q9" s="252"/>
      <c r="R9" s="24"/>
      <c r="S9" s="253"/>
      <c r="T9" s="254"/>
      <c r="U9" s="34"/>
    </row>
    <row r="10" spans="1:21" ht="15.75" customHeight="1" x14ac:dyDescent="0.25">
      <c r="A10" s="363"/>
      <c r="B10" s="256" t="s">
        <v>18</v>
      </c>
      <c r="C10" s="257">
        <v>-16089</v>
      </c>
      <c r="D10" s="257">
        <v>-46105</v>
      </c>
      <c r="E10" s="257">
        <v>-15501</v>
      </c>
      <c r="F10" s="257">
        <v>-16240</v>
      </c>
      <c r="G10" s="366">
        <v>-34867</v>
      </c>
      <c r="H10" s="366">
        <v>-34867</v>
      </c>
      <c r="I10" s="366">
        <v>-34867</v>
      </c>
      <c r="J10" s="366">
        <v>-34867</v>
      </c>
      <c r="K10" s="366">
        <v>-34867</v>
      </c>
      <c r="L10" s="366">
        <v>-34867</v>
      </c>
      <c r="M10" s="366">
        <v>-34867</v>
      </c>
      <c r="N10" s="366">
        <v>-35067</v>
      </c>
      <c r="O10" s="257">
        <f>+SUM(C10:N10)</f>
        <v>-373071</v>
      </c>
      <c r="P10" s="38"/>
      <c r="Q10" s="257">
        <v>-418600</v>
      </c>
      <c r="R10" s="24"/>
      <c r="S10" s="257">
        <f>+O10-Q10</f>
        <v>45529</v>
      </c>
      <c r="T10" s="34"/>
      <c r="U10" s="34"/>
    </row>
    <row r="11" spans="1:21" ht="15.75" customHeight="1" x14ac:dyDescent="0.25">
      <c r="A11" s="255"/>
      <c r="B11" s="258" t="s">
        <v>19</v>
      </c>
      <c r="C11" s="259">
        <f t="shared" ref="C11:O11" si="1">C8+C10</f>
        <v>24509</v>
      </c>
      <c r="D11" s="259">
        <f t="shared" si="1"/>
        <v>-66</v>
      </c>
      <c r="E11" s="259">
        <f t="shared" si="1"/>
        <v>26717</v>
      </c>
      <c r="F11" s="259">
        <f t="shared" si="1"/>
        <v>10446</v>
      </c>
      <c r="G11" s="259">
        <f t="shared" si="1"/>
        <v>105729</v>
      </c>
      <c r="H11" s="259">
        <f t="shared" si="1"/>
        <v>118363</v>
      </c>
      <c r="I11" s="259">
        <f t="shared" si="1"/>
        <v>129906</v>
      </c>
      <c r="J11" s="259">
        <f t="shared" si="1"/>
        <v>155215</v>
      </c>
      <c r="K11" s="259">
        <f t="shared" si="1"/>
        <v>121818</v>
      </c>
      <c r="L11" s="259">
        <f t="shared" si="1"/>
        <v>130156</v>
      </c>
      <c r="M11" s="259">
        <f t="shared" si="1"/>
        <v>119772</v>
      </c>
      <c r="N11" s="259">
        <f t="shared" si="1"/>
        <v>96111</v>
      </c>
      <c r="O11" s="259">
        <f t="shared" si="1"/>
        <v>1038676</v>
      </c>
      <c r="P11" s="24"/>
      <c r="Q11" s="259">
        <f>Q8+Q10</f>
        <v>1116650</v>
      </c>
      <c r="R11" s="24"/>
      <c r="S11" s="259">
        <f>+O11-Q11</f>
        <v>-77974</v>
      </c>
    </row>
    <row r="12" spans="1:21" ht="15.75" customHeight="1" x14ac:dyDescent="0.25">
      <c r="A12" s="249"/>
      <c r="B12" s="260" t="s">
        <v>20</v>
      </c>
      <c r="C12" s="261">
        <f t="shared" ref="C12:O12" si="2">IFERROR(C11/C8,"na")</f>
        <v>0.60369968963988374</v>
      </c>
      <c r="D12" s="261">
        <f t="shared" si="2"/>
        <v>-1.4335671930319946E-3</v>
      </c>
      <c r="E12" s="261">
        <f t="shared" si="2"/>
        <v>0.63283433606518547</v>
      </c>
      <c r="F12" s="261">
        <f t="shared" si="2"/>
        <v>0.39144120512628344</v>
      </c>
      <c r="G12" s="261">
        <f t="shared" si="2"/>
        <v>0.75200574696292921</v>
      </c>
      <c r="H12" s="261">
        <f t="shared" si="2"/>
        <v>0.77245317496573773</v>
      </c>
      <c r="I12" s="261">
        <f t="shared" si="2"/>
        <v>0.78839372955520626</v>
      </c>
      <c r="J12" s="261">
        <f t="shared" si="2"/>
        <v>0.81656863879799246</v>
      </c>
      <c r="K12" s="261">
        <f t="shared" si="2"/>
        <v>0.77747072151131247</v>
      </c>
      <c r="L12" s="261">
        <f t="shared" si="2"/>
        <v>0.788714300430849</v>
      </c>
      <c r="M12" s="261">
        <f t="shared" si="2"/>
        <v>0.77452647779667483</v>
      </c>
      <c r="N12" s="261">
        <f t="shared" si="2"/>
        <v>0.7326762109500069</v>
      </c>
      <c r="O12" s="261">
        <f t="shared" si="2"/>
        <v>0.73573806071484482</v>
      </c>
      <c r="P12" s="24"/>
      <c r="Q12" s="262">
        <f>IFERROR(Q11/Q8,"na")</f>
        <v>0.72734082397003741</v>
      </c>
      <c r="R12" s="24"/>
      <c r="S12" s="262"/>
    </row>
    <row r="13" spans="1:21" ht="15.75" customHeight="1" x14ac:dyDescent="0.25">
      <c r="A13" s="362"/>
      <c r="B13" s="263" t="s">
        <v>21</v>
      </c>
      <c r="C13" s="264">
        <v>-44502</v>
      </c>
      <c r="D13" s="264">
        <v>-53652</v>
      </c>
      <c r="E13" s="264">
        <v>-72848</v>
      </c>
      <c r="F13" s="360">
        <v>-68377</v>
      </c>
      <c r="G13" s="264">
        <v>-73683</v>
      </c>
      <c r="H13" s="264">
        <v>-73683</v>
      </c>
      <c r="I13" s="264">
        <v>-73683</v>
      </c>
      <c r="J13" s="264">
        <v>-73683</v>
      </c>
      <c r="K13" s="264">
        <v>-73683</v>
      </c>
      <c r="L13" s="264">
        <v>-73683</v>
      </c>
      <c r="M13" s="264">
        <v>-73683</v>
      </c>
      <c r="N13" s="264">
        <v>-73683</v>
      </c>
      <c r="O13" s="264">
        <f>+SUM(C13:N13)</f>
        <v>-828843</v>
      </c>
      <c r="P13" s="24"/>
      <c r="Q13" s="360">
        <f>-884195</f>
        <v>-884195</v>
      </c>
      <c r="R13" s="24"/>
      <c r="S13" s="265">
        <f>+O13-Q13</f>
        <v>55352</v>
      </c>
      <c r="T13" s="46"/>
    </row>
    <row r="14" spans="1:21" ht="15.75" customHeight="1" x14ac:dyDescent="0.25">
      <c r="A14" s="266"/>
      <c r="B14" s="267" t="s">
        <v>22</v>
      </c>
      <c r="C14" s="268"/>
      <c r="D14" s="268"/>
      <c r="E14" s="268"/>
      <c r="F14" s="268"/>
      <c r="G14" s="268"/>
      <c r="H14" s="268"/>
      <c r="I14" s="268"/>
      <c r="J14" s="268"/>
      <c r="K14" s="268"/>
      <c r="L14" s="268"/>
      <c r="M14" s="268"/>
      <c r="N14" s="268"/>
      <c r="O14" s="268">
        <f>+SUM(C14:N14)</f>
        <v>0</v>
      </c>
      <c r="P14" s="24"/>
      <c r="Q14" s="268"/>
      <c r="R14" s="24"/>
      <c r="S14" s="268"/>
    </row>
    <row r="15" spans="1:21" ht="15.75" customHeight="1" x14ac:dyDescent="0.25">
      <c r="A15" s="269"/>
      <c r="B15" s="270" t="s">
        <v>23</v>
      </c>
      <c r="C15" s="271">
        <f t="shared" ref="C15:N15" si="3">C8+C10+C13</f>
        <v>-19993</v>
      </c>
      <c r="D15" s="271">
        <f t="shared" si="3"/>
        <v>-53718</v>
      </c>
      <c r="E15" s="271">
        <f t="shared" si="3"/>
        <v>-46131</v>
      </c>
      <c r="F15" s="271">
        <f t="shared" si="3"/>
        <v>-57931</v>
      </c>
      <c r="G15" s="271">
        <f t="shared" si="3"/>
        <v>32046</v>
      </c>
      <c r="H15" s="271">
        <f t="shared" si="3"/>
        <v>44680</v>
      </c>
      <c r="I15" s="271">
        <f t="shared" si="3"/>
        <v>56223</v>
      </c>
      <c r="J15" s="271">
        <f t="shared" si="3"/>
        <v>81532</v>
      </c>
      <c r="K15" s="271">
        <f t="shared" si="3"/>
        <v>48135</v>
      </c>
      <c r="L15" s="271">
        <f t="shared" si="3"/>
        <v>56473</v>
      </c>
      <c r="M15" s="271">
        <f t="shared" si="3"/>
        <v>46089</v>
      </c>
      <c r="N15" s="271">
        <f t="shared" si="3"/>
        <v>22428</v>
      </c>
      <c r="O15" s="271">
        <f>O8+O10+O13</f>
        <v>209833</v>
      </c>
      <c r="P15" s="24"/>
      <c r="Q15" s="271">
        <f>Q8+Q10+Q13</f>
        <v>232455</v>
      </c>
      <c r="R15" s="24"/>
      <c r="S15" s="246">
        <f>+O15-Q15</f>
        <v>-22622</v>
      </c>
    </row>
    <row r="16" spans="1:21" ht="15.75" customHeight="1" x14ac:dyDescent="0.25">
      <c r="A16" s="269"/>
      <c r="B16" s="260" t="s">
        <v>20</v>
      </c>
      <c r="C16" s="261">
        <f t="shared" ref="C16:N16" si="4">IFERROR(C15/C8,"na")</f>
        <v>-0.49246268289078282</v>
      </c>
      <c r="D16" s="261">
        <f t="shared" si="4"/>
        <v>-1.166793370837768</v>
      </c>
      <c r="E16" s="261">
        <f t="shared" si="4"/>
        <v>-1.0926855843479084</v>
      </c>
      <c r="F16" s="261">
        <f t="shared" si="4"/>
        <v>-2.1708386419845613</v>
      </c>
      <c r="G16" s="261">
        <f t="shared" si="4"/>
        <v>0.2279296708298956</v>
      </c>
      <c r="H16" s="261">
        <f t="shared" si="4"/>
        <v>0.29158780917574889</v>
      </c>
      <c r="I16" s="261">
        <f t="shared" si="4"/>
        <v>0.34121488350639972</v>
      </c>
      <c r="J16" s="261">
        <f t="shared" si="4"/>
        <v>0.4289306720257573</v>
      </c>
      <c r="K16" s="261">
        <f t="shared" si="4"/>
        <v>0.30720873089319334</v>
      </c>
      <c r="L16" s="261">
        <f t="shared" si="4"/>
        <v>0.34221290365585405</v>
      </c>
      <c r="M16" s="261">
        <f t="shared" si="4"/>
        <v>0.29804253778154283</v>
      </c>
      <c r="N16" s="261">
        <f t="shared" si="4"/>
        <v>0.170973791336962</v>
      </c>
      <c r="O16" s="261">
        <f>IFERROR(O15/$O$8,"na")</f>
        <v>0.14863357244605443</v>
      </c>
      <c r="P16" s="24"/>
      <c r="Q16" s="262">
        <f>IFERROR(Q15/Q8,"na")</f>
        <v>0.15141182217879823</v>
      </c>
      <c r="R16" s="24"/>
      <c r="S16" s="262"/>
    </row>
    <row r="17" spans="1:20" ht="15.75" customHeight="1" x14ac:dyDescent="0.25">
      <c r="A17" s="269"/>
      <c r="B17" s="272" t="s">
        <v>24</v>
      </c>
      <c r="C17" s="273">
        <f t="shared" ref="C17:N17" si="5">+C19+C20</f>
        <v>-24318</v>
      </c>
      <c r="D17" s="273">
        <f t="shared" si="5"/>
        <v>-38869</v>
      </c>
      <c r="E17" s="273">
        <f t="shared" si="5"/>
        <v>-26103</v>
      </c>
      <c r="F17" s="273">
        <f t="shared" si="5"/>
        <v>-33860</v>
      </c>
      <c r="G17" s="273">
        <f t="shared" si="5"/>
        <v>-68257</v>
      </c>
      <c r="H17" s="273">
        <f t="shared" si="5"/>
        <v>-84057</v>
      </c>
      <c r="I17" s="273">
        <f t="shared" si="5"/>
        <v>-41507</v>
      </c>
      <c r="J17" s="273">
        <f t="shared" si="5"/>
        <v>-21707</v>
      </c>
      <c r="K17" s="273">
        <f t="shared" si="5"/>
        <v>-716207</v>
      </c>
      <c r="L17" s="273">
        <f t="shared" si="5"/>
        <v>-69007</v>
      </c>
      <c r="M17" s="273">
        <f t="shared" si="5"/>
        <v>-34507</v>
      </c>
      <c r="N17" s="273">
        <f t="shared" si="5"/>
        <v>-72837</v>
      </c>
      <c r="O17" s="273">
        <f>+O19+O20</f>
        <v>-1231236</v>
      </c>
      <c r="P17" s="24"/>
      <c r="Q17" s="361">
        <f>-1297286</f>
        <v>-1297286</v>
      </c>
      <c r="R17" s="24"/>
      <c r="S17" s="274">
        <f>+O17-Q17</f>
        <v>66050</v>
      </c>
    </row>
    <row r="18" spans="1:20" ht="15.75" customHeight="1" x14ac:dyDescent="0.25">
      <c r="A18" s="275"/>
      <c r="B18" s="276" t="s">
        <v>20</v>
      </c>
      <c r="C18" s="277">
        <f t="shared" ref="C18:N18" si="6">IFERROR(C17/C8,"na")</f>
        <v>-0.59899502438543772</v>
      </c>
      <c r="D18" s="277">
        <f t="shared" si="6"/>
        <v>-0.84426247312061509</v>
      </c>
      <c r="E18" s="277">
        <f t="shared" si="6"/>
        <v>-0.61829077644606567</v>
      </c>
      <c r="F18" s="277">
        <f t="shared" si="6"/>
        <v>-1.2688300981788203</v>
      </c>
      <c r="G18" s="277">
        <f t="shared" si="6"/>
        <v>-0.48548322854135251</v>
      </c>
      <c r="H18" s="277">
        <f t="shared" si="6"/>
        <v>-0.54856751288912098</v>
      </c>
      <c r="I18" s="277">
        <f t="shared" si="6"/>
        <v>-0.25190413477936313</v>
      </c>
      <c r="J18" s="277">
        <f t="shared" si="6"/>
        <v>-0.11419808293262908</v>
      </c>
      <c r="K18" s="277">
        <f t="shared" si="6"/>
        <v>-4.5709991383986983</v>
      </c>
      <c r="L18" s="277">
        <f t="shared" si="6"/>
        <v>-0.41816595262478562</v>
      </c>
      <c r="M18" s="277">
        <f t="shared" si="6"/>
        <v>-0.22314551956492218</v>
      </c>
      <c r="N18" s="277">
        <f t="shared" si="6"/>
        <v>-0.55525316745185926</v>
      </c>
      <c r="O18" s="277">
        <f>IFERROR(O17/$O$8,"na")</f>
        <v>-0.87213643804449381</v>
      </c>
      <c r="P18" s="24"/>
      <c r="Q18" s="278">
        <f>IFERROR(Q17/$Q$8,"na")</f>
        <v>-0.84499983716007165</v>
      </c>
      <c r="R18" s="24"/>
      <c r="S18" s="279"/>
    </row>
    <row r="19" spans="1:20" ht="15.75" customHeight="1" x14ac:dyDescent="0.25">
      <c r="A19" s="364"/>
      <c r="B19" s="280" t="s">
        <v>25</v>
      </c>
      <c r="C19" s="281">
        <v>-2892</v>
      </c>
      <c r="D19" s="281">
        <v>-7991</v>
      </c>
      <c r="E19" s="281">
        <v>-9978</v>
      </c>
      <c r="F19" s="281">
        <v>-13371</v>
      </c>
      <c r="G19" s="281">
        <v>-62500</v>
      </c>
      <c r="H19" s="281">
        <v>-78300</v>
      </c>
      <c r="I19" s="281">
        <v>-35750</v>
      </c>
      <c r="J19" s="281">
        <v>-15950</v>
      </c>
      <c r="K19" s="281">
        <v>-710450</v>
      </c>
      <c r="L19" s="281">
        <v>-63250</v>
      </c>
      <c r="M19" s="281">
        <v>-28750</v>
      </c>
      <c r="N19" s="281">
        <v>-67080</v>
      </c>
      <c r="O19" s="281">
        <f>SUM(C19:N19)</f>
        <v>-1096262</v>
      </c>
      <c r="P19" s="24"/>
      <c r="Q19" s="282">
        <f>+Q17*T19</f>
        <v>-1155071.2819735615</v>
      </c>
      <c r="R19" s="24"/>
      <c r="S19" s="282">
        <f>+O19-Q19</f>
        <v>58809.281973561505</v>
      </c>
      <c r="T19" s="504">
        <f>+O19/$O$17</f>
        <v>0.89037520020532213</v>
      </c>
    </row>
    <row r="20" spans="1:20" ht="15.75" customHeight="1" x14ac:dyDescent="0.25">
      <c r="A20" s="365"/>
      <c r="B20" s="280" t="s">
        <v>26</v>
      </c>
      <c r="C20" s="281">
        <v>-21426</v>
      </c>
      <c r="D20" s="281">
        <v>-30878</v>
      </c>
      <c r="E20" s="281">
        <v>-16125</v>
      </c>
      <c r="F20" s="281">
        <v>-20489</v>
      </c>
      <c r="G20" s="281">
        <v>-5757</v>
      </c>
      <c r="H20" s="281">
        <v>-5757</v>
      </c>
      <c r="I20" s="281">
        <v>-5757</v>
      </c>
      <c r="J20" s="281">
        <v>-5757</v>
      </c>
      <c r="K20" s="281">
        <v>-5757</v>
      </c>
      <c r="L20" s="281">
        <v>-5757</v>
      </c>
      <c r="M20" s="281">
        <v>-5757</v>
      </c>
      <c r="N20" s="281">
        <v>-5757</v>
      </c>
      <c r="O20" s="281">
        <f>SUM(C20:N20)</f>
        <v>-134974</v>
      </c>
      <c r="P20" s="24"/>
      <c r="Q20" s="281">
        <f>+Q17*T20</f>
        <v>-142214.71802643847</v>
      </c>
      <c r="R20" s="24"/>
      <c r="S20" s="282">
        <f>+O20-Q20</f>
        <v>7240.718026438466</v>
      </c>
      <c r="T20" s="504">
        <f>+O20/$O$17</f>
        <v>0.10962479979467787</v>
      </c>
    </row>
    <row r="21" spans="1:20" ht="15.75" customHeight="1" x14ac:dyDescent="0.25">
      <c r="A21" s="269"/>
      <c r="B21" s="270" t="s">
        <v>27</v>
      </c>
      <c r="C21" s="271">
        <f t="shared" ref="C21:O21" si="7">C15+C17</f>
        <v>-44311</v>
      </c>
      <c r="D21" s="271">
        <f t="shared" si="7"/>
        <v>-92587</v>
      </c>
      <c r="E21" s="271">
        <f t="shared" si="7"/>
        <v>-72234</v>
      </c>
      <c r="F21" s="271">
        <f t="shared" si="7"/>
        <v>-91791</v>
      </c>
      <c r="G21" s="271">
        <f t="shared" si="7"/>
        <v>-36211</v>
      </c>
      <c r="H21" s="271">
        <f t="shared" si="7"/>
        <v>-39377</v>
      </c>
      <c r="I21" s="271">
        <f t="shared" si="7"/>
        <v>14716</v>
      </c>
      <c r="J21" s="271">
        <f t="shared" si="7"/>
        <v>59825</v>
      </c>
      <c r="K21" s="271">
        <f t="shared" si="7"/>
        <v>-668072</v>
      </c>
      <c r="L21" s="271">
        <f t="shared" si="7"/>
        <v>-12534</v>
      </c>
      <c r="M21" s="271">
        <f t="shared" si="7"/>
        <v>11582</v>
      </c>
      <c r="N21" s="271">
        <f t="shared" si="7"/>
        <v>-50409</v>
      </c>
      <c r="O21" s="271">
        <f t="shared" si="7"/>
        <v>-1021403</v>
      </c>
      <c r="P21" s="24"/>
      <c r="Q21" s="271">
        <f>Q15+Q17</f>
        <v>-1064831</v>
      </c>
      <c r="R21" s="24"/>
      <c r="S21" s="246">
        <f>+O21-Q21</f>
        <v>43428</v>
      </c>
      <c r="T21" s="66"/>
    </row>
    <row r="22" spans="1:20" ht="15.75" customHeight="1" x14ac:dyDescent="0.25">
      <c r="A22" s="269"/>
      <c r="B22" s="276" t="s">
        <v>20</v>
      </c>
      <c r="C22" s="283">
        <f t="shared" ref="C22:O22" si="8">IFERROR(C21/C8,"na")</f>
        <v>-1.0914577072762206</v>
      </c>
      <c r="D22" s="283">
        <f t="shared" si="8"/>
        <v>-2.011055843958383</v>
      </c>
      <c r="E22" s="283">
        <f t="shared" si="8"/>
        <v>-1.7109763607939741</v>
      </c>
      <c r="F22" s="283">
        <f t="shared" si="8"/>
        <v>-3.4396687401633814</v>
      </c>
      <c r="G22" s="283">
        <f t="shared" si="8"/>
        <v>-0.25755355771145694</v>
      </c>
      <c r="H22" s="283">
        <f t="shared" si="8"/>
        <v>-0.25697970371337203</v>
      </c>
      <c r="I22" s="283">
        <f t="shared" si="8"/>
        <v>8.9310748727036593E-2</v>
      </c>
      <c r="J22" s="283">
        <f t="shared" si="8"/>
        <v>0.31473258909312823</v>
      </c>
      <c r="K22" s="283">
        <f t="shared" si="8"/>
        <v>-4.2637904075055051</v>
      </c>
      <c r="L22" s="283">
        <f t="shared" si="8"/>
        <v>-7.5953048968931597E-2</v>
      </c>
      <c r="M22" s="283">
        <f t="shared" si="8"/>
        <v>7.4897018216620648E-2</v>
      </c>
      <c r="N22" s="283">
        <f t="shared" si="8"/>
        <v>-0.38427937611489732</v>
      </c>
      <c r="O22" s="283">
        <f t="shared" si="8"/>
        <v>-0.72350286559843935</v>
      </c>
      <c r="P22"/>
      <c r="Q22" s="284">
        <f>IFERROR(Q21/Q8,"na")</f>
        <v>-0.69358801498127343</v>
      </c>
      <c r="R22"/>
      <c r="S22" s="285"/>
    </row>
    <row r="23" spans="1:20" ht="15.75" customHeight="1" x14ac:dyDescent="0.25">
      <c r="A23" s="286"/>
      <c r="B23" s="287" t="s">
        <v>28</v>
      </c>
      <c r="C23" s="288" t="e">
        <f>+#REF!</f>
        <v>#REF!</v>
      </c>
      <c r="D23" s="288" t="e">
        <f>+#REF!</f>
        <v>#REF!</v>
      </c>
      <c r="E23" s="288" t="e">
        <f>+#REF!</f>
        <v>#REF!</v>
      </c>
      <c r="F23" s="288" t="e">
        <f>+#REF!</f>
        <v>#REF!</v>
      </c>
      <c r="G23" s="288" t="e">
        <f>+#REF!</f>
        <v>#REF!</v>
      </c>
      <c r="H23" s="288" t="e">
        <f>+#REF!</f>
        <v>#REF!</v>
      </c>
      <c r="I23" s="288" t="e">
        <f>+#REF!</f>
        <v>#REF!</v>
      </c>
      <c r="J23" s="288" t="e">
        <f>+#REF!</f>
        <v>#REF!</v>
      </c>
      <c r="K23" s="288" t="e">
        <f>+#REF!</f>
        <v>#REF!</v>
      </c>
      <c r="L23" s="288" t="e">
        <f>+#REF!</f>
        <v>#REF!</v>
      </c>
      <c r="M23" s="288" t="e">
        <f>+#REF!</f>
        <v>#REF!</v>
      </c>
      <c r="N23" s="288" t="e">
        <f>+#REF!</f>
        <v>#REF!</v>
      </c>
      <c r="O23" s="288" t="e">
        <f>+#REF!</f>
        <v>#REF!</v>
      </c>
      <c r="P23"/>
      <c r="Q23" s="289" t="e">
        <f>+#REF!</f>
        <v>#REF!</v>
      </c>
      <c r="R23"/>
      <c r="S23" s="289" t="e">
        <f>+O23-Q23</f>
        <v>#REF!</v>
      </c>
    </row>
    <row r="24" spans="1:20" ht="15.75" customHeight="1" x14ac:dyDescent="0.25">
      <c r="A24" s="290"/>
      <c r="B24" s="291" t="s">
        <v>29</v>
      </c>
      <c r="C24" s="292" t="e">
        <f t="shared" ref="C24:O24" si="9">C21+C23</f>
        <v>#REF!</v>
      </c>
      <c r="D24" s="292" t="e">
        <f t="shared" si="9"/>
        <v>#REF!</v>
      </c>
      <c r="E24" s="292" t="e">
        <f t="shared" si="9"/>
        <v>#REF!</v>
      </c>
      <c r="F24" s="292" t="e">
        <f t="shared" si="9"/>
        <v>#REF!</v>
      </c>
      <c r="G24" s="292" t="e">
        <f t="shared" si="9"/>
        <v>#REF!</v>
      </c>
      <c r="H24" s="292" t="e">
        <f t="shared" si="9"/>
        <v>#REF!</v>
      </c>
      <c r="I24" s="292" t="e">
        <f t="shared" si="9"/>
        <v>#REF!</v>
      </c>
      <c r="J24" s="292" t="e">
        <f t="shared" si="9"/>
        <v>#REF!</v>
      </c>
      <c r="K24" s="292" t="e">
        <f t="shared" si="9"/>
        <v>#REF!</v>
      </c>
      <c r="L24" s="292" t="e">
        <f t="shared" si="9"/>
        <v>#REF!</v>
      </c>
      <c r="M24" s="292" t="e">
        <f t="shared" si="9"/>
        <v>#REF!</v>
      </c>
      <c r="N24" s="292" t="e">
        <f t="shared" si="9"/>
        <v>#REF!</v>
      </c>
      <c r="O24" s="292" t="e">
        <f t="shared" si="9"/>
        <v>#REF!</v>
      </c>
      <c r="P24"/>
      <c r="Q24" s="293" t="e">
        <f>Q21+Q23</f>
        <v>#REF!</v>
      </c>
      <c r="R24"/>
      <c r="S24" s="293" t="e">
        <f>+O24-Q24</f>
        <v>#REF!</v>
      </c>
    </row>
    <row r="25" spans="1:20" ht="15.75" customHeight="1" x14ac:dyDescent="0.25">
      <c r="A25" s="286"/>
      <c r="B25" s="294" t="s">
        <v>20</v>
      </c>
      <c r="C25" s="295" t="str">
        <f t="shared" ref="C25:O25" si="10">IFERROR(C24/C8,"na")</f>
        <v>na</v>
      </c>
      <c r="D25" s="295" t="str">
        <f t="shared" si="10"/>
        <v>na</v>
      </c>
      <c r="E25" s="295" t="str">
        <f t="shared" si="10"/>
        <v>na</v>
      </c>
      <c r="F25" s="295" t="str">
        <f t="shared" si="10"/>
        <v>na</v>
      </c>
      <c r="G25" s="295" t="str">
        <f t="shared" si="10"/>
        <v>na</v>
      </c>
      <c r="H25" s="295" t="str">
        <f t="shared" si="10"/>
        <v>na</v>
      </c>
      <c r="I25" s="295" t="str">
        <f t="shared" si="10"/>
        <v>na</v>
      </c>
      <c r="J25" s="295" t="str">
        <f t="shared" si="10"/>
        <v>na</v>
      </c>
      <c r="K25" s="295" t="str">
        <f t="shared" si="10"/>
        <v>na</v>
      </c>
      <c r="L25" s="295" t="str">
        <f t="shared" si="10"/>
        <v>na</v>
      </c>
      <c r="M25" s="295" t="str">
        <f t="shared" si="10"/>
        <v>na</v>
      </c>
      <c r="N25" s="295" t="str">
        <f t="shared" si="10"/>
        <v>na</v>
      </c>
      <c r="O25" s="295" t="str">
        <f t="shared" si="10"/>
        <v>na</v>
      </c>
      <c r="P25"/>
      <c r="Q25" s="296">
        <v>-0.60977488656199375</v>
      </c>
      <c r="R25"/>
      <c r="S25" s="296"/>
    </row>
    <row r="26" spans="1:20" ht="15.75" customHeight="1" x14ac:dyDescent="0.25">
      <c r="A26" s="286"/>
      <c r="B26" s="280" t="s">
        <v>30</v>
      </c>
      <c r="C26" s="292"/>
      <c r="D26" s="292"/>
      <c r="E26" s="292"/>
      <c r="F26" s="292"/>
      <c r="G26" s="292"/>
      <c r="H26" s="292"/>
      <c r="I26" s="292"/>
      <c r="J26" s="292"/>
      <c r="K26" s="292"/>
      <c r="L26" s="292"/>
      <c r="M26" s="292"/>
      <c r="N26" s="292"/>
      <c r="O26" s="292"/>
      <c r="P26"/>
      <c r="Q26" s="292"/>
      <c r="R26"/>
      <c r="S26" s="297">
        <f>+O26-Q26</f>
        <v>0</v>
      </c>
    </row>
    <row r="27" spans="1:20" ht="15.75" customHeight="1" x14ac:dyDescent="0.25">
      <c r="A27" s="286"/>
      <c r="B27" s="280" t="s">
        <v>31</v>
      </c>
      <c r="C27" s="298"/>
      <c r="D27" s="298"/>
      <c r="E27" s="298"/>
      <c r="F27" s="298"/>
      <c r="G27" s="298"/>
      <c r="H27" s="298"/>
      <c r="I27" s="298"/>
      <c r="J27" s="298"/>
      <c r="K27" s="298"/>
      <c r="L27" s="298"/>
      <c r="M27" s="299"/>
      <c r="N27" s="299"/>
      <c r="O27" s="300"/>
      <c r="P27"/>
      <c r="Q27" s="300">
        <v>0</v>
      </c>
      <c r="R27"/>
      <c r="S27" s="301">
        <f>+O27-Q27</f>
        <v>0</v>
      </c>
    </row>
    <row r="28" spans="1:20" ht="15.75" customHeight="1" x14ac:dyDescent="0.25">
      <c r="A28" s="286"/>
      <c r="B28" s="270" t="s">
        <v>32</v>
      </c>
      <c r="C28" s="271" t="e">
        <f t="shared" ref="C28:O28" si="11">+C24+C26+C27</f>
        <v>#REF!</v>
      </c>
      <c r="D28" s="271" t="e">
        <f t="shared" si="11"/>
        <v>#REF!</v>
      </c>
      <c r="E28" s="271" t="e">
        <f t="shared" si="11"/>
        <v>#REF!</v>
      </c>
      <c r="F28" s="271" t="e">
        <f t="shared" si="11"/>
        <v>#REF!</v>
      </c>
      <c r="G28" s="271" t="e">
        <f t="shared" si="11"/>
        <v>#REF!</v>
      </c>
      <c r="H28" s="271" t="e">
        <f t="shared" si="11"/>
        <v>#REF!</v>
      </c>
      <c r="I28" s="271" t="e">
        <f t="shared" si="11"/>
        <v>#REF!</v>
      </c>
      <c r="J28" s="271" t="e">
        <f t="shared" si="11"/>
        <v>#REF!</v>
      </c>
      <c r="K28" s="271" t="e">
        <f t="shared" si="11"/>
        <v>#REF!</v>
      </c>
      <c r="L28" s="271" t="e">
        <f t="shared" si="11"/>
        <v>#REF!</v>
      </c>
      <c r="M28" s="271" t="e">
        <f t="shared" si="11"/>
        <v>#REF!</v>
      </c>
      <c r="N28" s="271" t="e">
        <f t="shared" si="11"/>
        <v>#REF!</v>
      </c>
      <c r="O28" s="271" t="e">
        <f t="shared" si="11"/>
        <v>#REF!</v>
      </c>
      <c r="P28"/>
      <c r="Q28" s="271" t="e">
        <f>+Q24+Q26+Q27</f>
        <v>#REF!</v>
      </c>
      <c r="R28"/>
      <c r="S28" s="271" t="e">
        <f>+O28-Q28</f>
        <v>#REF!</v>
      </c>
    </row>
    <row r="29" spans="1:20" ht="15.75" customHeight="1" x14ac:dyDescent="0.25">
      <c r="A29" s="269"/>
      <c r="B29" s="302"/>
      <c r="C29" s="303"/>
      <c r="D29" s="303"/>
      <c r="E29" s="303"/>
      <c r="F29" s="303"/>
      <c r="G29" s="303"/>
      <c r="H29" s="303"/>
      <c r="I29" s="303"/>
      <c r="J29" s="303"/>
      <c r="K29" s="303"/>
      <c r="L29" s="303"/>
      <c r="M29" s="304"/>
      <c r="N29" s="304"/>
      <c r="O29" s="304"/>
      <c r="P29"/>
      <c r="Q29" s="304"/>
      <c r="R29"/>
      <c r="S29" s="304"/>
    </row>
    <row r="30" spans="1:20" ht="15.75" customHeight="1" x14ac:dyDescent="0.25">
      <c r="A30" s="305"/>
      <c r="B30" s="302"/>
      <c r="C30" s="231" t="str">
        <f t="shared" ref="C30:N30" si="12">+C4</f>
        <v>ACTUAL</v>
      </c>
      <c r="D30" s="231" t="str">
        <f t="shared" si="12"/>
        <v>ACTUAL</v>
      </c>
      <c r="E30" s="231" t="str">
        <f t="shared" si="12"/>
        <v>ACTUAL</v>
      </c>
      <c r="F30" s="231" t="str">
        <f t="shared" si="12"/>
        <v>ACTUAL</v>
      </c>
      <c r="G30" s="232" t="str">
        <f t="shared" si="12"/>
        <v xml:space="preserve">FORECAST </v>
      </c>
      <c r="H30" s="232" t="str">
        <f t="shared" si="12"/>
        <v xml:space="preserve">FORECAST </v>
      </c>
      <c r="I30" s="232" t="str">
        <f t="shared" si="12"/>
        <v xml:space="preserve">FORECAST </v>
      </c>
      <c r="J30" s="232" t="str">
        <f t="shared" si="12"/>
        <v xml:space="preserve">FORECAST </v>
      </c>
      <c r="K30" s="232" t="str">
        <f t="shared" si="12"/>
        <v xml:space="preserve">FORECAST </v>
      </c>
      <c r="L30" s="232" t="str">
        <f t="shared" si="12"/>
        <v xml:space="preserve">FORECAST </v>
      </c>
      <c r="M30" s="232" t="str">
        <f t="shared" si="12"/>
        <v xml:space="preserve">FORECAST </v>
      </c>
      <c r="N30" s="232" t="str">
        <f t="shared" si="12"/>
        <v xml:space="preserve">FORECAST </v>
      </c>
      <c r="O30" s="306"/>
      <c r="P30"/>
      <c r="Q30" s="307" t="s">
        <v>1</v>
      </c>
      <c r="R30"/>
      <c r="S30" s="306"/>
    </row>
    <row r="31" spans="1:20" ht="15.75" customHeight="1" x14ac:dyDescent="0.25">
      <c r="A31" s="305"/>
      <c r="B31" s="525" t="s">
        <v>33</v>
      </c>
      <c r="C31" s="236">
        <v>2026</v>
      </c>
      <c r="D31" s="236">
        <v>2026</v>
      </c>
      <c r="E31" s="236">
        <v>2026</v>
      </c>
      <c r="F31" s="236">
        <v>2026</v>
      </c>
      <c r="G31" s="236">
        <v>2026</v>
      </c>
      <c r="H31" s="236">
        <v>2026</v>
      </c>
      <c r="I31" s="236">
        <v>2026</v>
      </c>
      <c r="J31" s="236">
        <v>2026</v>
      </c>
      <c r="K31" s="236">
        <v>2026</v>
      </c>
      <c r="L31" s="236">
        <v>2026</v>
      </c>
      <c r="M31" s="236">
        <v>2026</v>
      </c>
      <c r="N31" s="308">
        <v>2026</v>
      </c>
      <c r="O31" s="309"/>
      <c r="P31"/>
      <c r="Q31" s="310">
        <v>2026</v>
      </c>
      <c r="R31"/>
    </row>
    <row r="32" spans="1:20" ht="15.75" customHeight="1" outlineLevel="2" x14ac:dyDescent="0.25">
      <c r="A32" s="286"/>
      <c r="B32" s="526"/>
      <c r="C32" s="311" t="s">
        <v>3</v>
      </c>
      <c r="D32" s="312" t="s">
        <v>4</v>
      </c>
      <c r="E32" s="312" t="s">
        <v>5</v>
      </c>
      <c r="F32" s="312" t="s">
        <v>6</v>
      </c>
      <c r="G32" s="312" t="s">
        <v>7</v>
      </c>
      <c r="H32" s="312" t="s">
        <v>8</v>
      </c>
      <c r="I32" s="312" t="s">
        <v>9</v>
      </c>
      <c r="J32" s="312" t="s">
        <v>10</v>
      </c>
      <c r="K32" s="312" t="s">
        <v>11</v>
      </c>
      <c r="L32" s="312" t="s">
        <v>12</v>
      </c>
      <c r="M32" s="312" t="s">
        <v>13</v>
      </c>
      <c r="N32" s="313" t="s">
        <v>14</v>
      </c>
      <c r="O32" s="314"/>
      <c r="P32"/>
      <c r="Q32" s="307" t="s">
        <v>15</v>
      </c>
      <c r="R32"/>
    </row>
    <row r="33" spans="1:20" ht="15.75" customHeight="1" outlineLevel="2" x14ac:dyDescent="0.25">
      <c r="A33" s="286"/>
      <c r="B33" s="315" t="s">
        <v>34</v>
      </c>
      <c r="C33" s="316">
        <f>+SUM(C34:C36)</f>
        <v>0</v>
      </c>
      <c r="D33" s="316">
        <f>+SUM(D34:D36)</f>
        <v>0</v>
      </c>
      <c r="E33" s="316">
        <f>+SUM(E34:E36)</f>
        <v>0</v>
      </c>
      <c r="F33" s="316"/>
      <c r="G33" s="316"/>
      <c r="H33" s="316"/>
      <c r="I33" s="316"/>
      <c r="J33" s="316"/>
      <c r="K33" s="316"/>
      <c r="L33" s="316"/>
      <c r="M33" s="316"/>
      <c r="N33" s="316"/>
      <c r="O33" s="317"/>
      <c r="P33"/>
      <c r="Q33" s="318" t="e">
        <f>+#REF!</f>
        <v>#REF!</v>
      </c>
      <c r="R33"/>
    </row>
    <row r="34" spans="1:20" ht="15.75" customHeight="1" outlineLevel="2" x14ac:dyDescent="0.25">
      <c r="A34" s="286"/>
      <c r="B34" s="319" t="s">
        <v>35</v>
      </c>
      <c r="C34" s="320"/>
      <c r="D34" s="320"/>
      <c r="E34" s="320"/>
      <c r="F34" s="320"/>
      <c r="G34" s="320"/>
      <c r="H34" s="320"/>
      <c r="I34" s="320"/>
      <c r="J34" s="320"/>
      <c r="K34" s="320"/>
      <c r="L34" s="320"/>
      <c r="M34" s="320"/>
      <c r="N34" s="320"/>
      <c r="O34" s="317"/>
      <c r="P34"/>
      <c r="Q34" s="321"/>
      <c r="R34"/>
    </row>
    <row r="35" spans="1:20" ht="15.75" customHeight="1" outlineLevel="2" x14ac:dyDescent="0.25">
      <c r="A35" s="286"/>
      <c r="B35" s="319" t="s">
        <v>36</v>
      </c>
      <c r="C35" s="354"/>
      <c r="D35" s="355"/>
      <c r="E35" s="355"/>
      <c r="F35" s="355"/>
      <c r="G35" s="322"/>
      <c r="H35" s="322"/>
      <c r="I35" s="322"/>
      <c r="J35" s="322"/>
      <c r="K35" s="322"/>
      <c r="L35" s="322"/>
      <c r="M35" s="322"/>
      <c r="N35" s="322"/>
      <c r="O35" s="317"/>
      <c r="P35"/>
      <c r="Q35" s="323"/>
      <c r="R35"/>
    </row>
    <row r="36" spans="1:20" ht="15.75" customHeight="1" outlineLevel="2" x14ac:dyDescent="0.25">
      <c r="A36" s="286"/>
      <c r="B36" s="324" t="s">
        <v>37</v>
      </c>
      <c r="C36" s="356"/>
      <c r="D36" s="356"/>
      <c r="E36" s="356"/>
      <c r="F36" s="356"/>
      <c r="G36" s="325"/>
      <c r="H36" s="325"/>
      <c r="I36" s="325"/>
      <c r="J36" s="325"/>
      <c r="K36" s="325"/>
      <c r="L36" s="325"/>
      <c r="M36" s="325"/>
      <c r="N36" s="325"/>
      <c r="O36" s="317"/>
      <c r="P36"/>
      <c r="Q36" s="321"/>
      <c r="R36"/>
    </row>
    <row r="37" spans="1:20" ht="15.75" customHeight="1" outlineLevel="2" x14ac:dyDescent="0.25">
      <c r="A37" s="286"/>
      <c r="B37" s="326" t="s">
        <v>38</v>
      </c>
      <c r="C37" s="327">
        <f t="shared" ref="C37:N37" si="13">+SUM(C38:C41)</f>
        <v>0</v>
      </c>
      <c r="D37" s="328">
        <f t="shared" si="13"/>
        <v>0</v>
      </c>
      <c r="E37" s="328">
        <f t="shared" si="13"/>
        <v>0</v>
      </c>
      <c r="F37" s="328">
        <f t="shared" si="13"/>
        <v>0</v>
      </c>
      <c r="G37" s="328">
        <f t="shared" si="13"/>
        <v>0</v>
      </c>
      <c r="H37" s="328">
        <f t="shared" si="13"/>
        <v>0</v>
      </c>
      <c r="I37" s="328">
        <f t="shared" si="13"/>
        <v>0</v>
      </c>
      <c r="J37" s="328">
        <f t="shared" si="13"/>
        <v>0</v>
      </c>
      <c r="K37" s="328">
        <f t="shared" si="13"/>
        <v>0</v>
      </c>
      <c r="L37" s="328">
        <f t="shared" si="13"/>
        <v>0</v>
      </c>
      <c r="M37" s="328">
        <f t="shared" si="13"/>
        <v>0</v>
      </c>
      <c r="N37" s="329">
        <f t="shared" si="13"/>
        <v>0</v>
      </c>
      <c r="O37" s="317"/>
      <c r="P37"/>
      <c r="Q37" s="318" t="e">
        <f>+#REF!</f>
        <v>#REF!</v>
      </c>
      <c r="R37"/>
    </row>
    <row r="38" spans="1:20" ht="15.75" customHeight="1" outlineLevel="2" x14ac:dyDescent="0.25">
      <c r="A38" s="286"/>
      <c r="B38" s="330" t="s">
        <v>39</v>
      </c>
      <c r="C38" s="357"/>
      <c r="D38" s="357"/>
      <c r="E38" s="357"/>
      <c r="F38" s="300"/>
      <c r="G38" s="300"/>
      <c r="H38" s="300"/>
      <c r="I38" s="300"/>
      <c r="J38" s="300"/>
      <c r="K38" s="300"/>
      <c r="L38" s="300"/>
      <c r="M38" s="300"/>
      <c r="N38" s="300"/>
      <c r="O38" s="331"/>
      <c r="P38"/>
      <c r="Q38" s="332"/>
      <c r="R38"/>
    </row>
    <row r="39" spans="1:20" ht="15.75" customHeight="1" outlineLevel="2" x14ac:dyDescent="0.25">
      <c r="A39" s="286"/>
      <c r="B39" s="330" t="s">
        <v>40</v>
      </c>
      <c r="C39" s="357"/>
      <c r="D39" s="357"/>
      <c r="E39" s="357"/>
      <c r="F39" s="300"/>
      <c r="G39" s="300"/>
      <c r="H39" s="300"/>
      <c r="I39" s="300"/>
      <c r="J39" s="300"/>
      <c r="K39" s="300"/>
      <c r="L39" s="300"/>
      <c r="M39" s="300"/>
      <c r="N39" s="300"/>
      <c r="O39" s="331"/>
      <c r="P39"/>
      <c r="Q39" s="332"/>
      <c r="R39"/>
    </row>
    <row r="40" spans="1:20" ht="15.75" customHeight="1" x14ac:dyDescent="0.25">
      <c r="A40" s="305"/>
      <c r="B40" s="330" t="s">
        <v>41</v>
      </c>
      <c r="C40" s="357"/>
      <c r="D40" s="357"/>
      <c r="E40" s="357"/>
      <c r="F40" s="300"/>
      <c r="G40" s="300"/>
      <c r="H40" s="300"/>
      <c r="I40" s="300"/>
      <c r="J40" s="300"/>
      <c r="K40" s="300"/>
      <c r="L40" s="300"/>
      <c r="M40" s="300"/>
      <c r="N40" s="300"/>
      <c r="O40" s="331"/>
      <c r="P40"/>
      <c r="Q40" s="332"/>
      <c r="R40"/>
    </row>
    <row r="41" spans="1:20" ht="15.75" customHeight="1" x14ac:dyDescent="0.25">
      <c r="A41" s="269"/>
      <c r="B41" s="333" t="s">
        <v>42</v>
      </c>
      <c r="C41" s="357"/>
      <c r="D41" s="357"/>
      <c r="E41" s="357"/>
      <c r="F41" s="300"/>
      <c r="G41" s="300"/>
      <c r="H41" s="300"/>
      <c r="I41" s="300"/>
      <c r="J41" s="300"/>
      <c r="K41" s="300"/>
      <c r="L41" s="300"/>
      <c r="M41" s="300"/>
      <c r="N41" s="300"/>
      <c r="O41" s="331"/>
      <c r="P41"/>
      <c r="Q41" s="332"/>
      <c r="R41"/>
    </row>
    <row r="42" spans="1:20" ht="15.75" customHeight="1" x14ac:dyDescent="0.25">
      <c r="A42" s="305"/>
      <c r="B42" s="334" t="s">
        <v>43</v>
      </c>
      <c r="C42" s="317" t="e">
        <f>+#REF!</f>
        <v>#REF!</v>
      </c>
      <c r="D42" s="317" t="e">
        <f>+#REF!</f>
        <v>#REF!</v>
      </c>
      <c r="E42" s="317" t="e">
        <f>+#REF!</f>
        <v>#REF!</v>
      </c>
      <c r="F42" s="317"/>
      <c r="G42" s="317"/>
      <c r="H42" s="317"/>
      <c r="I42" s="317"/>
      <c r="J42" s="317"/>
      <c r="K42" s="317"/>
      <c r="L42" s="317"/>
      <c r="M42" s="317"/>
      <c r="N42" s="317"/>
      <c r="O42" s="317"/>
      <c r="P42"/>
      <c r="Q42" s="335" t="e">
        <f>+#REF!</f>
        <v>#REF!</v>
      </c>
      <c r="R42"/>
    </row>
    <row r="43" spans="1:20" ht="15.75" customHeight="1" x14ac:dyDescent="0.25">
      <c r="A43" s="305"/>
      <c r="B43" s="326" t="s">
        <v>44</v>
      </c>
      <c r="C43" s="336" t="e">
        <f t="shared" ref="C43:N43" si="14">+C37+C42</f>
        <v>#REF!</v>
      </c>
      <c r="D43" s="337" t="e">
        <f t="shared" si="14"/>
        <v>#REF!</v>
      </c>
      <c r="E43" s="337" t="e">
        <f t="shared" si="14"/>
        <v>#REF!</v>
      </c>
      <c r="F43" s="337">
        <f t="shared" si="14"/>
        <v>0</v>
      </c>
      <c r="G43" s="337">
        <f t="shared" si="14"/>
        <v>0</v>
      </c>
      <c r="H43" s="337">
        <f t="shared" si="14"/>
        <v>0</v>
      </c>
      <c r="I43" s="337">
        <f t="shared" si="14"/>
        <v>0</v>
      </c>
      <c r="J43" s="337">
        <f t="shared" si="14"/>
        <v>0</v>
      </c>
      <c r="K43" s="337">
        <f t="shared" si="14"/>
        <v>0</v>
      </c>
      <c r="L43" s="337">
        <f t="shared" si="14"/>
        <v>0</v>
      </c>
      <c r="M43" s="337">
        <f t="shared" si="14"/>
        <v>0</v>
      </c>
      <c r="N43" s="338">
        <f t="shared" si="14"/>
        <v>0</v>
      </c>
      <c r="O43" s="317"/>
      <c r="P43"/>
      <c r="Q43" s="339" t="e">
        <f>+Q37+Q42</f>
        <v>#REF!</v>
      </c>
      <c r="R43"/>
    </row>
    <row r="44" spans="1:20" s="127" customFormat="1" ht="15.75" customHeight="1" x14ac:dyDescent="0.25">
      <c r="A44" s="290"/>
      <c r="B44" s="340" t="s">
        <v>45</v>
      </c>
      <c r="C44" s="358"/>
      <c r="D44" s="358"/>
      <c r="E44" s="358"/>
      <c r="F44" s="358"/>
      <c r="G44" s="358"/>
      <c r="H44" s="358"/>
      <c r="I44" s="358"/>
      <c r="J44" s="358"/>
      <c r="K44" s="358"/>
      <c r="L44" s="358"/>
      <c r="M44" s="358"/>
      <c r="N44" s="358"/>
      <c r="O44" s="341"/>
      <c r="P44" s="125"/>
      <c r="Q44" s="342"/>
      <c r="R44" s="125"/>
      <c r="S44" s="5"/>
      <c r="T44" s="5"/>
    </row>
    <row r="45" spans="1:20" ht="15" customHeight="1" x14ac:dyDescent="0.25">
      <c r="B45" s="343" t="s">
        <v>46</v>
      </c>
      <c r="C45" s="344" t="e">
        <f t="shared" ref="C45:N45" si="15">C33+C43+C44</f>
        <v>#REF!</v>
      </c>
      <c r="D45" s="328" t="e">
        <f t="shared" si="15"/>
        <v>#REF!</v>
      </c>
      <c r="E45" s="328" t="e">
        <f t="shared" si="15"/>
        <v>#REF!</v>
      </c>
      <c r="F45" s="328">
        <f t="shared" si="15"/>
        <v>0</v>
      </c>
      <c r="G45" s="328">
        <f t="shared" si="15"/>
        <v>0</v>
      </c>
      <c r="H45" s="328">
        <f t="shared" si="15"/>
        <v>0</v>
      </c>
      <c r="I45" s="328">
        <f t="shared" si="15"/>
        <v>0</v>
      </c>
      <c r="J45" s="328">
        <f t="shared" si="15"/>
        <v>0</v>
      </c>
      <c r="K45" s="328">
        <f t="shared" si="15"/>
        <v>0</v>
      </c>
      <c r="L45" s="328">
        <f t="shared" si="15"/>
        <v>0</v>
      </c>
      <c r="M45" s="328">
        <f t="shared" si="15"/>
        <v>0</v>
      </c>
      <c r="N45" s="329">
        <f t="shared" si="15"/>
        <v>0</v>
      </c>
      <c r="O45" s="317"/>
      <c r="P45"/>
      <c r="Q45" s="345"/>
      <c r="R45"/>
    </row>
    <row r="46" spans="1:20" s="34" customFormat="1" ht="15" customHeight="1" x14ac:dyDescent="0.25">
      <c r="B46" s="346"/>
      <c r="C46" s="317"/>
      <c r="D46" s="317"/>
      <c r="E46" s="317"/>
      <c r="F46" s="317"/>
      <c r="G46" s="317"/>
      <c r="H46" s="317"/>
      <c r="I46" s="317"/>
      <c r="J46" s="317"/>
      <c r="K46" s="317"/>
      <c r="L46" s="317"/>
      <c r="M46" s="317"/>
      <c r="N46" s="317"/>
      <c r="O46" s="317"/>
      <c r="P46" s="132"/>
      <c r="Q46" s="317"/>
      <c r="R46" s="132"/>
    </row>
    <row r="47" spans="1:20" s="34" customFormat="1" ht="15" customHeight="1" x14ac:dyDescent="0.25">
      <c r="B47" s="346"/>
      <c r="C47" s="317"/>
      <c r="D47" s="317"/>
      <c r="E47" s="317"/>
      <c r="F47" s="317"/>
      <c r="G47" s="317"/>
      <c r="H47" s="317"/>
      <c r="I47" s="317"/>
      <c r="J47" s="317"/>
      <c r="K47" s="317"/>
      <c r="L47" s="317"/>
      <c r="M47" s="317"/>
      <c r="N47" s="317"/>
      <c r="O47" s="317"/>
      <c r="P47" s="132"/>
      <c r="Q47" s="317"/>
      <c r="R47" s="132"/>
    </row>
    <row r="48" spans="1:20" s="34" customFormat="1" ht="19.5" customHeight="1" x14ac:dyDescent="0.25">
      <c r="B48" s="347"/>
      <c r="C48" s="231" t="str">
        <f>+C4</f>
        <v>ACTUAL</v>
      </c>
      <c r="D48" s="231" t="str">
        <f>+D4</f>
        <v>ACTUAL</v>
      </c>
      <c r="E48" s="231" t="str">
        <f>+E4</f>
        <v>ACTUAL</v>
      </c>
      <c r="F48" s="231" t="str">
        <f>+F4</f>
        <v>ACTUAL</v>
      </c>
      <c r="G48" s="231" t="s">
        <v>49</v>
      </c>
      <c r="H48" s="232" t="str">
        <f t="shared" ref="H48:N48" si="16">+H4</f>
        <v xml:space="preserve">FORECAST </v>
      </c>
      <c r="I48" s="232" t="str">
        <f t="shared" si="16"/>
        <v xml:space="preserve">FORECAST </v>
      </c>
      <c r="J48" s="232" t="str">
        <f t="shared" si="16"/>
        <v xml:space="preserve">FORECAST </v>
      </c>
      <c r="K48" s="232" t="str">
        <f t="shared" si="16"/>
        <v xml:space="preserve">FORECAST </v>
      </c>
      <c r="L48" s="232" t="str">
        <f t="shared" si="16"/>
        <v xml:space="preserve">FORECAST </v>
      </c>
      <c r="M48" s="232" t="str">
        <f t="shared" si="16"/>
        <v xml:space="preserve">FORECAST </v>
      </c>
      <c r="N48" s="232" t="str">
        <f t="shared" si="16"/>
        <v xml:space="preserve">FORECAST </v>
      </c>
      <c r="P48" s="132"/>
      <c r="R48" s="132"/>
    </row>
    <row r="49" spans="1:18" ht="15.75" customHeight="1" x14ac:dyDescent="0.25">
      <c r="A49" s="305"/>
      <c r="B49" s="525" t="s">
        <v>55</v>
      </c>
      <c r="C49" s="236">
        <v>2026</v>
      </c>
      <c r="D49" s="236">
        <v>2026</v>
      </c>
      <c r="E49" s="236">
        <v>2026</v>
      </c>
      <c r="F49" s="236">
        <v>2026</v>
      </c>
      <c r="G49" s="236">
        <v>2026</v>
      </c>
      <c r="H49" s="236">
        <v>2026</v>
      </c>
      <c r="I49" s="236">
        <v>2026</v>
      </c>
      <c r="J49" s="236">
        <v>2026</v>
      </c>
      <c r="K49" s="236">
        <v>2026</v>
      </c>
      <c r="L49" s="236">
        <v>2026</v>
      </c>
      <c r="M49" s="236">
        <v>2026</v>
      </c>
      <c r="N49" s="308">
        <v>2026</v>
      </c>
      <c r="O49" s="309"/>
      <c r="P49"/>
      <c r="R49"/>
    </row>
    <row r="50" spans="1:18" ht="15.75" customHeight="1" x14ac:dyDescent="0.25">
      <c r="A50" s="286"/>
      <c r="B50" s="526"/>
      <c r="C50" s="311" t="s">
        <v>3</v>
      </c>
      <c r="D50" s="312" t="s">
        <v>4</v>
      </c>
      <c r="E50" s="312" t="s">
        <v>5</v>
      </c>
      <c r="F50" s="312" t="s">
        <v>6</v>
      </c>
      <c r="G50" s="312" t="s">
        <v>7</v>
      </c>
      <c r="H50" s="312" t="s">
        <v>8</v>
      </c>
      <c r="I50" s="312" t="s">
        <v>9</v>
      </c>
      <c r="J50" s="312" t="s">
        <v>10</v>
      </c>
      <c r="K50" s="312" t="s">
        <v>11</v>
      </c>
      <c r="L50" s="312" t="s">
        <v>12</v>
      </c>
      <c r="M50" s="312" t="s">
        <v>13</v>
      </c>
      <c r="N50" s="313" t="s">
        <v>14</v>
      </c>
      <c r="O50" s="314"/>
    </row>
    <row r="51" spans="1:18" ht="15" customHeight="1" x14ac:dyDescent="0.25">
      <c r="B51" s="210" t="s">
        <v>94</v>
      </c>
      <c r="C51" s="344">
        <v>13800</v>
      </c>
      <c r="D51" s="344">
        <v>17000</v>
      </c>
      <c r="E51" s="344">
        <v>20600</v>
      </c>
      <c r="F51" s="344">
        <v>14200</v>
      </c>
      <c r="G51" s="344">
        <v>19500</v>
      </c>
    </row>
    <row r="52" spans="1:18" ht="15" customHeight="1" x14ac:dyDescent="0.25">
      <c r="B52" s="250" t="s">
        <v>17</v>
      </c>
      <c r="D52" s="143">
        <f>((D51-C51)/D51)</f>
        <v>0.18823529411764706</v>
      </c>
      <c r="E52" s="143">
        <f t="shared" ref="E52:G52" si="17">((E51-D51)/E51)</f>
        <v>0.17475728155339806</v>
      </c>
      <c r="F52" s="143">
        <f t="shared" si="17"/>
        <v>-0.45070422535211269</v>
      </c>
      <c r="G52" s="143">
        <f t="shared" si="17"/>
        <v>0.27179487179487177</v>
      </c>
    </row>
    <row r="53" spans="1:18" ht="6.6" customHeight="1" x14ac:dyDescent="0.25">
      <c r="B53" s="210"/>
    </row>
    <row r="54" spans="1:18" ht="15" customHeight="1" x14ac:dyDescent="0.25">
      <c r="B54" s="210" t="s">
        <v>95</v>
      </c>
      <c r="C54" s="487">
        <v>30460</v>
      </c>
      <c r="D54" s="487">
        <v>44355</v>
      </c>
      <c r="E54" s="487">
        <v>34044</v>
      </c>
      <c r="F54" s="487">
        <v>24590</v>
      </c>
      <c r="G54" s="487">
        <v>45577</v>
      </c>
    </row>
    <row r="55" spans="1:18" ht="15" customHeight="1" x14ac:dyDescent="0.25">
      <c r="B55" s="250" t="s">
        <v>17</v>
      </c>
      <c r="D55" s="143">
        <f>((D54-C54)/D54)</f>
        <v>0.31326795175290273</v>
      </c>
      <c r="E55" s="143">
        <f t="shared" ref="E55" si="18">((E54-D54)/E54)</f>
        <v>-0.30287275290800142</v>
      </c>
      <c r="F55" s="143">
        <f t="shared" ref="F55" si="19">((F54-E54)/F54)</f>
        <v>-0.38446522976819847</v>
      </c>
      <c r="G55" s="143">
        <f t="shared" ref="G55" si="20">((G54-F54)/G54)</f>
        <v>0.46047348443293767</v>
      </c>
    </row>
    <row r="56" spans="1:18" s="132" customFormat="1" ht="6" customHeight="1" x14ac:dyDescent="0.25">
      <c r="B56" s="211"/>
      <c r="E56" s="133"/>
    </row>
    <row r="57" spans="1:18" s="132" customFormat="1" ht="13.5" customHeight="1" x14ac:dyDescent="0.25">
      <c r="B57" s="211" t="s">
        <v>96</v>
      </c>
      <c r="C57" s="245">
        <v>40598</v>
      </c>
      <c r="D57" s="245">
        <v>46039</v>
      </c>
      <c r="E57" s="245">
        <v>42218</v>
      </c>
      <c r="F57" s="245">
        <v>26686</v>
      </c>
      <c r="G57" s="245">
        <v>57540</v>
      </c>
    </row>
    <row r="58" spans="1:18" s="132" customFormat="1" ht="14.25" customHeight="1" x14ac:dyDescent="0.25">
      <c r="B58" s="250" t="s">
        <v>17</v>
      </c>
      <c r="D58" s="143">
        <f>((D57-C57)/D57)</f>
        <v>0.11818241056495579</v>
      </c>
      <c r="E58" s="143">
        <f t="shared" ref="E58" si="21">((E57-D57)/E57)</f>
        <v>-9.0506419062958934E-2</v>
      </c>
      <c r="F58" s="143">
        <f t="shared" ref="F58:G58" si="22">((F57-E57)/F57)</f>
        <v>-0.58202802967848311</v>
      </c>
      <c r="G58" s="143">
        <f t="shared" si="22"/>
        <v>0.5362182829336114</v>
      </c>
    </row>
    <row r="59" spans="1:18" ht="15" customHeight="1" x14ac:dyDescent="0.25">
      <c r="B59" s="348"/>
      <c r="C59" s="349"/>
      <c r="D59" s="349"/>
      <c r="E59" s="350"/>
    </row>
    <row r="60" spans="1:18" ht="15" customHeight="1" x14ac:dyDescent="0.25">
      <c r="B60" s="348"/>
      <c r="C60" s="351"/>
      <c r="D60" s="351"/>
      <c r="E60" s="350"/>
    </row>
    <row r="61" spans="1:18" ht="15" customHeight="1" x14ac:dyDescent="0.25">
      <c r="B61" s="527" t="s">
        <v>60</v>
      </c>
      <c r="C61" s="528"/>
      <c r="D61" s="528"/>
      <c r="E61" s="528"/>
      <c r="F61" s="528"/>
      <c r="G61" s="528"/>
      <c r="H61" s="528"/>
      <c r="I61" s="528"/>
      <c r="J61" s="528"/>
      <c r="K61" s="528"/>
      <c r="L61" s="528"/>
      <c r="M61" s="528"/>
      <c r="N61" s="529"/>
    </row>
    <row r="62" spans="1:18" ht="15" customHeight="1" x14ac:dyDescent="0.25">
      <c r="B62" s="210" t="s">
        <v>61</v>
      </c>
      <c r="C62" s="352"/>
      <c r="D62" s="352"/>
      <c r="E62" s="220"/>
    </row>
    <row r="63" spans="1:18" ht="15" customHeight="1" x14ac:dyDescent="0.25">
      <c r="B63" s="210"/>
      <c r="C63" s="352"/>
      <c r="D63" s="352"/>
      <c r="E63" s="220"/>
    </row>
    <row r="64" spans="1:18" ht="15" customHeight="1" x14ac:dyDescent="0.25">
      <c r="B64" s="210" t="s">
        <v>62</v>
      </c>
      <c r="C64" s="352"/>
      <c r="D64" s="352"/>
      <c r="E64" s="353"/>
    </row>
    <row r="65" spans="2:5" ht="15" customHeight="1" x14ac:dyDescent="0.25">
      <c r="B65" s="210"/>
      <c r="C65" s="352"/>
      <c r="D65" s="352"/>
      <c r="E65" s="353"/>
    </row>
    <row r="66" spans="2:5" ht="15" customHeight="1" x14ac:dyDescent="0.25">
      <c r="B66" s="210" t="s">
        <v>63</v>
      </c>
    </row>
    <row r="67" spans="2:5" ht="7.5" customHeight="1" x14ac:dyDescent="0.25">
      <c r="B67" s="210"/>
    </row>
    <row r="68" spans="2:5" ht="15" customHeight="1" x14ac:dyDescent="0.25">
      <c r="B68" s="319" t="s">
        <v>64</v>
      </c>
    </row>
  </sheetData>
  <mergeCells count="4">
    <mergeCell ref="B5:B6"/>
    <mergeCell ref="B31:B32"/>
    <mergeCell ref="B49:B50"/>
    <mergeCell ref="B61:N61"/>
  </mergeCells>
  <printOptions horizontalCentered="1" verticalCentered="1" gridLines="1"/>
  <pageMargins left="0.7" right="0.7" top="0.75" bottom="0.75" header="0" footer="0"/>
  <pageSetup paperSize="9" scale="33" pageOrder="overThenDown" orientation="portrait" cellComments="atEnd" r:id="rId1"/>
  <ignoredErrors>
    <ignoredError sqref="O17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87AE6-6CC2-4F67-A28D-96CF82C96A92}">
  <sheetPr>
    <outlinePr summaryBelow="0" summaryRight="0"/>
    <pageSetUpPr fitToPage="1"/>
  </sheetPr>
  <dimension ref="A1:U63"/>
  <sheetViews>
    <sheetView showGridLines="0" zoomScale="90" zoomScaleNormal="90" workbookViewId="0">
      <pane ySplit="6" topLeftCell="A7" activePane="bottomLeft" state="frozen"/>
      <selection pane="bottomLeft" activeCell="O14" sqref="O14"/>
    </sheetView>
  </sheetViews>
  <sheetFormatPr baseColWidth="10" defaultColWidth="14.42578125" defaultRowHeight="15" customHeight="1" outlineLevelRow="2" outlineLevelCol="1" x14ac:dyDescent="0.25"/>
  <cols>
    <col min="1" max="1" width="4.42578125" style="5" customWidth="1"/>
    <col min="2" max="2" width="38.5703125" style="5" bestFit="1" customWidth="1"/>
    <col min="3" max="3" width="10.42578125" style="5" customWidth="1" outlineLevel="1"/>
    <col min="4" max="4" width="10.5703125" style="5" customWidth="1" outlineLevel="1"/>
    <col min="5" max="5" width="10.140625" style="5" customWidth="1" outlineLevel="1"/>
    <col min="6" max="12" width="10.7109375" style="5" customWidth="1" outlineLevel="1"/>
    <col min="13" max="13" width="9.28515625" style="5" customWidth="1" outlineLevel="1"/>
    <col min="14" max="14" width="10.42578125" style="5" customWidth="1" outlineLevel="1"/>
    <col min="15" max="15" width="13.140625" style="5" bestFit="1" customWidth="1"/>
    <col min="16" max="16" width="3.5703125" style="5" customWidth="1"/>
    <col min="17" max="17" width="12.7109375" style="5" customWidth="1"/>
    <col min="18" max="18" width="1" style="5" customWidth="1"/>
    <col min="19" max="19" width="12.7109375" style="5" customWidth="1"/>
    <col min="20" max="20" width="33.85546875" style="5" customWidth="1"/>
    <col min="21" max="16384" width="14.42578125" style="5"/>
  </cols>
  <sheetData>
    <row r="1" spans="1:21" ht="9.75" customHeight="1" x14ac:dyDescent="0.25"/>
    <row r="2" spans="1:21" ht="27.75" customHeight="1" x14ac:dyDescent="0.25">
      <c r="A2" s="1"/>
      <c r="B2" s="169" t="s">
        <v>65</v>
      </c>
      <c r="C2" s="170" t="s">
        <v>66</v>
      </c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213"/>
      <c r="Q2" s="214"/>
      <c r="R2" s="213"/>
      <c r="S2" s="214"/>
      <c r="T2" s="215"/>
    </row>
    <row r="3" spans="1:21" ht="26.25" customHeight="1" x14ac:dyDescent="0.25">
      <c r="A3" s="1"/>
      <c r="B3" s="181"/>
      <c r="C3" s="6"/>
      <c r="D3" s="6"/>
      <c r="E3" s="6"/>
      <c r="F3" s="6"/>
      <c r="G3" s="6"/>
      <c r="H3" s="6"/>
      <c r="I3" s="6"/>
      <c r="J3" s="6"/>
      <c r="K3" s="6"/>
      <c r="L3" s="6"/>
      <c r="M3" s="4"/>
      <c r="N3" s="4"/>
      <c r="O3" s="4"/>
      <c r="P3"/>
      <c r="Q3" s="4"/>
      <c r="R3"/>
      <c r="S3" s="4"/>
    </row>
    <row r="4" spans="1:21" ht="15.75" customHeight="1" x14ac:dyDescent="0.25">
      <c r="A4" s="7"/>
      <c r="B4" s="182"/>
      <c r="C4" s="9" t="s">
        <v>49</v>
      </c>
      <c r="D4" s="9" t="s">
        <v>49</v>
      </c>
      <c r="E4" s="9" t="s">
        <v>49</v>
      </c>
      <c r="F4" s="9" t="s">
        <v>49</v>
      </c>
      <c r="G4" s="9" t="s">
        <v>49</v>
      </c>
      <c r="H4" s="10" t="s">
        <v>51</v>
      </c>
      <c r="I4" s="10" t="s">
        <v>51</v>
      </c>
      <c r="J4" s="10" t="s">
        <v>51</v>
      </c>
      <c r="K4" s="10" t="s">
        <v>51</v>
      </c>
      <c r="L4" s="10" t="s">
        <v>51</v>
      </c>
      <c r="M4" s="10" t="s">
        <v>51</v>
      </c>
      <c r="N4" s="10" t="s">
        <v>51</v>
      </c>
      <c r="O4" s="219" t="s">
        <v>67</v>
      </c>
      <c r="P4"/>
      <c r="Q4" s="11" t="s">
        <v>1</v>
      </c>
      <c r="R4"/>
    </row>
    <row r="5" spans="1:21" ht="15.75" customHeight="1" x14ac:dyDescent="0.25">
      <c r="A5" s="12"/>
      <c r="B5" s="508" t="s">
        <v>2</v>
      </c>
      <c r="C5" s="13">
        <v>2026</v>
      </c>
      <c r="D5" s="13">
        <v>2026</v>
      </c>
      <c r="E5" s="13">
        <v>2026</v>
      </c>
      <c r="F5" s="13">
        <v>2026</v>
      </c>
      <c r="G5" s="13">
        <v>2026</v>
      </c>
      <c r="H5" s="13">
        <v>2026</v>
      </c>
      <c r="I5" s="13">
        <v>2026</v>
      </c>
      <c r="J5" s="13">
        <v>2026</v>
      </c>
      <c r="K5" s="13">
        <v>2026</v>
      </c>
      <c r="L5" s="13">
        <v>2026</v>
      </c>
      <c r="M5" s="13">
        <v>2026</v>
      </c>
      <c r="N5" s="13">
        <v>2026</v>
      </c>
      <c r="O5" s="14">
        <v>2026</v>
      </c>
      <c r="P5"/>
      <c r="Q5" s="9">
        <v>2026</v>
      </c>
      <c r="R5"/>
    </row>
    <row r="6" spans="1:21" ht="12.75" customHeight="1" x14ac:dyDescent="0.3">
      <c r="A6" s="15"/>
      <c r="B6" s="509"/>
      <c r="C6" s="16" t="s">
        <v>3</v>
      </c>
      <c r="D6" s="17" t="s">
        <v>4</v>
      </c>
      <c r="E6" s="17" t="s">
        <v>5</v>
      </c>
      <c r="F6" s="17" t="s">
        <v>6</v>
      </c>
      <c r="G6" s="17" t="s">
        <v>7</v>
      </c>
      <c r="H6" s="17" t="s">
        <v>8</v>
      </c>
      <c r="I6" s="17" t="s">
        <v>9</v>
      </c>
      <c r="J6" s="17" t="s">
        <v>10</v>
      </c>
      <c r="K6" s="17" t="s">
        <v>11</v>
      </c>
      <c r="L6" s="17" t="s">
        <v>12</v>
      </c>
      <c r="M6" s="17" t="s">
        <v>13</v>
      </c>
      <c r="N6" s="17" t="s">
        <v>14</v>
      </c>
      <c r="O6" s="10" t="s">
        <v>15</v>
      </c>
      <c r="P6"/>
      <c r="Q6" s="11" t="s">
        <v>15</v>
      </c>
      <c r="R6"/>
      <c r="S6" s="11" t="s">
        <v>53</v>
      </c>
      <c r="T6" s="10" t="s">
        <v>54</v>
      </c>
    </row>
    <row r="7" spans="1:21" ht="9.6" customHeight="1" x14ac:dyDescent="0.25">
      <c r="A7" s="18"/>
      <c r="B7" s="183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/>
      <c r="Q7" s="20"/>
      <c r="R7"/>
      <c r="S7" s="20"/>
      <c r="T7" s="21"/>
    </row>
    <row r="8" spans="1:21" s="493" customFormat="1" ht="24" customHeight="1" x14ac:dyDescent="0.25">
      <c r="A8" s="488"/>
      <c r="B8" s="489" t="s">
        <v>16</v>
      </c>
      <c r="C8" s="490">
        <f>+'[1] P&amp;L (act + Forecast)'!F$21</f>
        <v>4546</v>
      </c>
      <c r="D8" s="490">
        <f>+'[1] P&amp;L (act + Forecast)'!G$21</f>
        <v>5080</v>
      </c>
      <c r="E8" s="490">
        <f>+'[1] P&amp;L (act + Forecast)'!H$21</f>
        <v>10504</v>
      </c>
      <c r="F8" s="490">
        <f>+'[1] P&amp;L (act + Forecast)'!I$21</f>
        <v>14327</v>
      </c>
      <c r="G8" s="490">
        <f>+'[1] P&amp;L (act + Forecast)'!J$21</f>
        <v>11037</v>
      </c>
      <c r="H8" s="490">
        <f>+'[1] P&amp;L (act + Forecast)'!K$21</f>
        <v>22498.084321557617</v>
      </c>
      <c r="I8" s="490">
        <f>+'[1] P&amp;L (act + Forecast)'!L$21</f>
        <v>23744.861325317885</v>
      </c>
      <c r="J8" s="490">
        <f>+'[1] P&amp;L (act + Forecast)'!M$21</f>
        <v>22939.390023099673</v>
      </c>
      <c r="K8" s="490">
        <f>+'[1] P&amp;L (act + Forecast)'!N$21</f>
        <v>60524.649925384118</v>
      </c>
      <c r="L8" s="490">
        <f>+'[1] P&amp;L (act + Forecast)'!O$21</f>
        <v>33331.031709529248</v>
      </c>
      <c r="M8" s="490">
        <f>+'[1] P&amp;L (act + Forecast)'!P$21</f>
        <v>35794.352321295846</v>
      </c>
      <c r="N8" s="490">
        <f>+'[1] P&amp;L (act + Forecast)'!Q$21</f>
        <v>38649.995764309562</v>
      </c>
      <c r="O8" s="490">
        <f>+SUM(C8:N8)</f>
        <v>282976.36539049394</v>
      </c>
      <c r="P8" s="491"/>
      <c r="Q8" s="490">
        <f>+'[1] P&amp;L (act + Forecast)'!$T$21</f>
        <v>502554.09514784999</v>
      </c>
      <c r="R8" s="491"/>
      <c r="S8" s="492">
        <f>+O8-Q8</f>
        <v>-219577.72975735605</v>
      </c>
      <c r="T8" s="26" t="s">
        <v>99</v>
      </c>
      <c r="U8" s="27"/>
    </row>
    <row r="9" spans="1:21" ht="15.75" customHeight="1" x14ac:dyDescent="0.25">
      <c r="A9" s="28"/>
      <c r="B9" s="185" t="s">
        <v>17</v>
      </c>
      <c r="C9" s="30" t="str">
        <f t="shared" ref="C9:N9" si="0">IFERROR((C8/B8)-1,"na")</f>
        <v>na</v>
      </c>
      <c r="D9" s="30">
        <f t="shared" si="0"/>
        <v>0.11746590409150892</v>
      </c>
      <c r="E9" s="30">
        <f t="shared" si="0"/>
        <v>1.0677165354330707</v>
      </c>
      <c r="F9" s="30">
        <f t="shared" si="0"/>
        <v>0.363956587966489</v>
      </c>
      <c r="G9" s="30">
        <f t="shared" si="0"/>
        <v>-0.22963635094576673</v>
      </c>
      <c r="H9" s="30">
        <f t="shared" si="0"/>
        <v>1.0384238761944022</v>
      </c>
      <c r="I9" s="30">
        <f t="shared" si="0"/>
        <v>5.5417029554183372E-2</v>
      </c>
      <c r="J9" s="30">
        <f t="shared" si="0"/>
        <v>-3.3921920670868744E-2</v>
      </c>
      <c r="K9" s="30">
        <f t="shared" si="0"/>
        <v>1.6384594300213111</v>
      </c>
      <c r="L9" s="30">
        <f t="shared" si="0"/>
        <v>-0.44929823219761955</v>
      </c>
      <c r="M9" s="30">
        <f t="shared" si="0"/>
        <v>7.3904721378976745E-2</v>
      </c>
      <c r="N9" s="30">
        <f t="shared" si="0"/>
        <v>7.9779162293006411E-2</v>
      </c>
      <c r="O9" s="31"/>
      <c r="P9" s="24"/>
      <c r="Q9" s="31"/>
      <c r="R9" s="24"/>
      <c r="S9" s="32"/>
      <c r="T9" s="33"/>
      <c r="U9" s="34"/>
    </row>
    <row r="10" spans="1:21" ht="15.75" customHeight="1" x14ac:dyDescent="0.25">
      <c r="A10" s="35"/>
      <c r="B10" s="186" t="s">
        <v>18</v>
      </c>
      <c r="C10" s="140">
        <f>+'[1] P&amp;L (act + Forecast)'!F$23</f>
        <v>-4242</v>
      </c>
      <c r="D10" s="140">
        <f>+'[1] P&amp;L (act + Forecast)'!G$23</f>
        <v>-5207</v>
      </c>
      <c r="E10" s="140">
        <f>+'[1] P&amp;L (act + Forecast)'!H$23</f>
        <v>-12412</v>
      </c>
      <c r="F10" s="140">
        <f>+'[1] P&amp;L (act + Forecast)'!I$23</f>
        <v>-11770</v>
      </c>
      <c r="G10" s="140">
        <f>+'[1] P&amp;L (act + Forecast)'!J$23</f>
        <v>-9859</v>
      </c>
      <c r="H10" s="140">
        <f>+'[1] P&amp;L (act + Forecast)'!K$23</f>
        <v>-16050.3806</v>
      </c>
      <c r="I10" s="140">
        <f>+'[1] P&amp;L (act + Forecast)'!L$23</f>
        <v>-15088.982150000002</v>
      </c>
      <c r="J10" s="140">
        <f>+'[1] P&amp;L (act + Forecast)'!M$23</f>
        <v>-11548.2557375</v>
      </c>
      <c r="K10" s="140">
        <f>+'[1] P&amp;L (act + Forecast)'!N$23</f>
        <v>-36363.500537500004</v>
      </c>
      <c r="L10" s="140">
        <f>+'[1] P&amp;L (act + Forecast)'!O$23</f>
        <v>-22639.533564375</v>
      </c>
      <c r="M10" s="140">
        <f>+'[1] P&amp;L (act + Forecast)'!P$23</f>
        <v>-19841.63472259375</v>
      </c>
      <c r="N10" s="140">
        <f>+'[1] P&amp;L (act + Forecast)'!Q$23</f>
        <v>-22451.406378723441</v>
      </c>
      <c r="O10" s="140">
        <f>+SUM(C10:N10)</f>
        <v>-187473.69369069219</v>
      </c>
      <c r="P10" s="38"/>
      <c r="Q10" s="140">
        <f>+'[1] P&amp;L (act + Forecast)'!$T$23</f>
        <v>-246109.02014368901</v>
      </c>
      <c r="R10" s="24"/>
      <c r="S10" s="140">
        <f>+O10-Q10</f>
        <v>58635.326452996815</v>
      </c>
      <c r="T10" s="34"/>
      <c r="U10" s="34"/>
    </row>
    <row r="11" spans="1:21" ht="15.75" customHeight="1" x14ac:dyDescent="0.25">
      <c r="A11" s="35"/>
      <c r="B11" s="187" t="s">
        <v>19</v>
      </c>
      <c r="C11" s="40">
        <f t="shared" ref="C11:O11" si="1">C8+C10</f>
        <v>304</v>
      </c>
      <c r="D11" s="40">
        <f t="shared" si="1"/>
        <v>-127</v>
      </c>
      <c r="E11" s="40">
        <f t="shared" si="1"/>
        <v>-1908</v>
      </c>
      <c r="F11" s="40">
        <f t="shared" si="1"/>
        <v>2557</v>
      </c>
      <c r="G11" s="40">
        <f t="shared" si="1"/>
        <v>1178</v>
      </c>
      <c r="H11" s="40">
        <f>H8+H10</f>
        <v>6447.7037215576165</v>
      </c>
      <c r="I11" s="40">
        <f t="shared" si="1"/>
        <v>8655.879175317883</v>
      </c>
      <c r="J11" s="40">
        <f t="shared" si="1"/>
        <v>11391.134285599674</v>
      </c>
      <c r="K11" s="40">
        <f t="shared" si="1"/>
        <v>24161.149387884114</v>
      </c>
      <c r="L11" s="40">
        <f t="shared" si="1"/>
        <v>10691.498145154248</v>
      </c>
      <c r="M11" s="40">
        <f t="shared" si="1"/>
        <v>15952.717598702096</v>
      </c>
      <c r="N11" s="40">
        <f t="shared" si="1"/>
        <v>16198.589385586121</v>
      </c>
      <c r="O11" s="40">
        <f t="shared" si="1"/>
        <v>95502.671699801751</v>
      </c>
      <c r="P11" s="24"/>
      <c r="Q11" s="40">
        <f>Q8+Q10</f>
        <v>256445.07500416099</v>
      </c>
      <c r="R11" s="24"/>
      <c r="S11" s="40">
        <f>+O11-Q11</f>
        <v>-160942.40330435924</v>
      </c>
    </row>
    <row r="12" spans="1:21" ht="15.75" customHeight="1" x14ac:dyDescent="0.25">
      <c r="A12" s="28"/>
      <c r="B12" s="188" t="s">
        <v>20</v>
      </c>
      <c r="C12" s="172">
        <f t="shared" ref="C12:O12" si="2">IFERROR(C11/C8,"na")</f>
        <v>6.6871975362956443E-2</v>
      </c>
      <c r="D12" s="42">
        <f t="shared" si="2"/>
        <v>-2.5000000000000001E-2</v>
      </c>
      <c r="E12" s="42">
        <f t="shared" si="2"/>
        <v>-0.18164508758568165</v>
      </c>
      <c r="F12" s="42">
        <f t="shared" si="2"/>
        <v>0.17847420953444545</v>
      </c>
      <c r="G12" s="42">
        <f t="shared" si="2"/>
        <v>0.10673190178490533</v>
      </c>
      <c r="H12" s="42">
        <f t="shared" si="2"/>
        <v>0.2865890103976293</v>
      </c>
      <c r="I12" s="42">
        <f t="shared" si="2"/>
        <v>0.36453694366656836</v>
      </c>
      <c r="J12" s="42">
        <f t="shared" si="2"/>
        <v>0.49657529141485218</v>
      </c>
      <c r="K12" s="42">
        <f t="shared" si="2"/>
        <v>0.39919519431620698</v>
      </c>
      <c r="L12" s="42">
        <f t="shared" si="2"/>
        <v>0.32076709290992572</v>
      </c>
      <c r="M12" s="42">
        <f t="shared" si="2"/>
        <v>0.44567694522051815</v>
      </c>
      <c r="N12" s="42">
        <f t="shared" si="2"/>
        <v>0.41910973249172595</v>
      </c>
      <c r="O12" s="42">
        <f t="shared" si="2"/>
        <v>0.33749345662848063</v>
      </c>
      <c r="P12" s="24"/>
      <c r="Q12" s="42">
        <f>IFERROR(Q11/Q8,"na")</f>
        <v>0.51028352465960025</v>
      </c>
      <c r="R12" s="24"/>
      <c r="S12" s="42"/>
    </row>
    <row r="13" spans="1:21" ht="15.75" customHeight="1" x14ac:dyDescent="0.25">
      <c r="A13" s="18"/>
      <c r="B13" s="189" t="s">
        <v>21</v>
      </c>
      <c r="C13" s="44">
        <f>+'[1] P&amp;L (act + Forecast)'!F$30</f>
        <v>-11629.333333333334</v>
      </c>
      <c r="D13" s="44">
        <f>+'[1] P&amp;L (act + Forecast)'!G$30</f>
        <v>-21046.333333333332</v>
      </c>
      <c r="E13" s="44">
        <f>+'[1] P&amp;L (act + Forecast)'!H$30</f>
        <v>-16668.333333333336</v>
      </c>
      <c r="F13" s="44">
        <f>+'[1] P&amp;L (act + Forecast)'!I$30</f>
        <v>-16708</v>
      </c>
      <c r="G13" s="44">
        <f>+'[1] P&amp;L (act + Forecast)'!J$30</f>
        <v>-12802</v>
      </c>
      <c r="H13" s="44">
        <f>+'[1] P&amp;L (act + Forecast)'!K$30</f>
        <v>-22296.768541666672</v>
      </c>
      <c r="I13" s="44">
        <f>+'[1] P&amp;L (act + Forecast)'!L$30</f>
        <v>-22045.653635416667</v>
      </c>
      <c r="J13" s="44">
        <f>+'[1] P&amp;L (act + Forecast)'!M$30</f>
        <v>-19928.566666666669</v>
      </c>
      <c r="K13" s="44">
        <f>+'[1] P&amp;L (act + Forecast)'!N$30</f>
        <v>-22252.907983854169</v>
      </c>
      <c r="L13" s="44">
        <f>+'[1] P&amp;L (act + Forecast)'!O$30</f>
        <v>-27079.708383046876</v>
      </c>
      <c r="M13" s="44">
        <f>+'[1] P&amp;L (act + Forecast)'!P$30</f>
        <v>-25732.908802199221</v>
      </c>
      <c r="N13" s="44">
        <f>+'[1] P&amp;L (act + Forecast)'!Q$30</f>
        <v>-24609.780642309179</v>
      </c>
      <c r="O13" s="44">
        <f>+SUM(C13:N13)</f>
        <v>-242800.29465515947</v>
      </c>
      <c r="P13" s="24"/>
      <c r="Q13" s="44">
        <f>+'[1] P&amp;L (act + Forecast)'!$T$30</f>
        <v>-277070.47901717131</v>
      </c>
      <c r="R13" s="24"/>
      <c r="S13" s="45">
        <f>+O13-Q13</f>
        <v>34270.184362011845</v>
      </c>
      <c r="T13" s="46"/>
    </row>
    <row r="14" spans="1:21" ht="15.75" customHeight="1" x14ac:dyDescent="0.25">
      <c r="A14" s="47"/>
      <c r="B14" s="190" t="s">
        <v>22</v>
      </c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>
        <f>+SUM(C14:N14)</f>
        <v>0</v>
      </c>
      <c r="P14" s="24"/>
      <c r="Q14" s="49"/>
      <c r="R14" s="24"/>
      <c r="S14" s="49"/>
    </row>
    <row r="15" spans="1:21" ht="15.75" customHeight="1" x14ac:dyDescent="0.25">
      <c r="A15" s="50"/>
      <c r="B15" s="191" t="s">
        <v>23</v>
      </c>
      <c r="C15" s="52">
        <f t="shared" ref="C15:O15" si="3">C8+C10+C13</f>
        <v>-11325.333333333334</v>
      </c>
      <c r="D15" s="52">
        <f t="shared" si="3"/>
        <v>-21173.333333333332</v>
      </c>
      <c r="E15" s="52">
        <f t="shared" si="3"/>
        <v>-18576.333333333336</v>
      </c>
      <c r="F15" s="52">
        <f t="shared" si="3"/>
        <v>-14151</v>
      </c>
      <c r="G15" s="52">
        <f t="shared" si="3"/>
        <v>-11624</v>
      </c>
      <c r="H15" s="52">
        <f t="shared" si="3"/>
        <v>-15849.064820109055</v>
      </c>
      <c r="I15" s="52">
        <f t="shared" si="3"/>
        <v>-13389.774460098784</v>
      </c>
      <c r="J15" s="52">
        <f t="shared" si="3"/>
        <v>-8537.4323810669957</v>
      </c>
      <c r="K15" s="52">
        <f t="shared" si="3"/>
        <v>1908.2414040299445</v>
      </c>
      <c r="L15" s="52">
        <f t="shared" si="3"/>
        <v>-16388.210237892628</v>
      </c>
      <c r="M15" s="52">
        <f t="shared" si="3"/>
        <v>-9780.1912034971247</v>
      </c>
      <c r="N15" s="52">
        <f t="shared" si="3"/>
        <v>-8411.1912567230574</v>
      </c>
      <c r="O15" s="52">
        <f t="shared" si="3"/>
        <v>-147297.62295535771</v>
      </c>
      <c r="P15" s="24"/>
      <c r="Q15" s="52">
        <f>Q8+Q10+Q13</f>
        <v>-20625.404013010324</v>
      </c>
      <c r="R15" s="24"/>
      <c r="S15" s="25">
        <f>+O15-Q15</f>
        <v>-126672.21894234739</v>
      </c>
    </row>
    <row r="16" spans="1:21" ht="15.75" customHeight="1" x14ac:dyDescent="0.25">
      <c r="A16" s="50"/>
      <c r="B16" s="188" t="s">
        <v>20</v>
      </c>
      <c r="C16" s="172">
        <f t="shared" ref="C16:N16" si="4">IFERROR(C15/C8,"na")</f>
        <v>-2.4912743804076847</v>
      </c>
      <c r="D16" s="42">
        <f t="shared" si="4"/>
        <v>-4.1679790026246719</v>
      </c>
      <c r="E16" s="42">
        <f t="shared" si="4"/>
        <v>-1.7685008885503937</v>
      </c>
      <c r="F16" s="42">
        <f t="shared" si="4"/>
        <v>-0.9877155021986459</v>
      </c>
      <c r="G16" s="42">
        <f t="shared" si="4"/>
        <v>-1.0531847422306786</v>
      </c>
      <c r="H16" s="42">
        <f t="shared" si="4"/>
        <v>-0.70446285975213074</v>
      </c>
      <c r="I16" s="42">
        <f t="shared" si="4"/>
        <v>-0.56390198606137909</v>
      </c>
      <c r="J16" s="42">
        <f t="shared" si="4"/>
        <v>-0.3721734698468403</v>
      </c>
      <c r="K16" s="42">
        <f t="shared" si="4"/>
        <v>3.152833442874034E-2</v>
      </c>
      <c r="L16" s="42">
        <f t="shared" si="4"/>
        <v>-0.49168025702628598</v>
      </c>
      <c r="M16" s="42">
        <f t="shared" si="4"/>
        <v>-0.27323280264184024</v>
      </c>
      <c r="N16" s="42">
        <f t="shared" si="4"/>
        <v>-0.21762463592532075</v>
      </c>
      <c r="O16" s="42">
        <f>IFERROR(O15/$O$8,"na")</f>
        <v>-0.52052977199030026</v>
      </c>
      <c r="P16" s="24"/>
      <c r="Q16" s="42">
        <f>IFERROR(Q15/Q8,"na")</f>
        <v>-4.1041161960768402E-2</v>
      </c>
      <c r="R16" s="24"/>
      <c r="S16" s="42"/>
    </row>
    <row r="17" spans="1:20" ht="15.75" customHeight="1" x14ac:dyDescent="0.25">
      <c r="A17" s="50"/>
      <c r="B17" s="192" t="s">
        <v>24</v>
      </c>
      <c r="C17" s="54">
        <f>+C19+C20</f>
        <v>-9138</v>
      </c>
      <c r="D17" s="54">
        <f t="shared" ref="D17:O17" si="5">+D19+D20</f>
        <v>-10154</v>
      </c>
      <c r="E17" s="54">
        <f t="shared" si="5"/>
        <v>-16627</v>
      </c>
      <c r="F17" s="54">
        <f>+F19+F20</f>
        <v>-18780</v>
      </c>
      <c r="G17" s="54">
        <f t="shared" si="5"/>
        <v>-26073</v>
      </c>
      <c r="H17" s="54">
        <f t="shared" si="5"/>
        <v>-21895.75</v>
      </c>
      <c r="I17" s="54">
        <f t="shared" si="5"/>
        <v>-21895.75</v>
      </c>
      <c r="J17" s="54">
        <f t="shared" si="5"/>
        <v>-21755.699999999997</v>
      </c>
      <c r="K17" s="54">
        <f t="shared" si="5"/>
        <v>-22591.77</v>
      </c>
      <c r="L17" s="54">
        <f t="shared" si="5"/>
        <v>-25442.75</v>
      </c>
      <c r="M17" s="54">
        <f t="shared" si="5"/>
        <v>-23105.75</v>
      </c>
      <c r="N17" s="54">
        <f t="shared" si="5"/>
        <v>-23105.75</v>
      </c>
      <c r="O17" s="54">
        <f t="shared" si="5"/>
        <v>-240565.22000000003</v>
      </c>
      <c r="P17" s="24"/>
      <c r="Q17" s="54">
        <f>+Q19+Q20</f>
        <v>-243449.5172</v>
      </c>
      <c r="R17" s="24"/>
      <c r="S17" s="56">
        <f>+O17-Q17</f>
        <v>2884.2971999999718</v>
      </c>
    </row>
    <row r="18" spans="1:20" ht="15.75" customHeight="1" x14ac:dyDescent="0.25">
      <c r="A18" s="57"/>
      <c r="B18" s="193" t="s">
        <v>20</v>
      </c>
      <c r="C18" s="173">
        <f t="shared" ref="C18:N18" si="6">IFERROR(C17/C8,"na")</f>
        <v>-2.0101187857457106</v>
      </c>
      <c r="D18" s="59">
        <f t="shared" si="6"/>
        <v>-1.9988188976377952</v>
      </c>
      <c r="E18" s="59">
        <f t="shared" si="6"/>
        <v>-1.5829207920792079</v>
      </c>
      <c r="F18" s="59">
        <f t="shared" si="6"/>
        <v>-1.3108117540308508</v>
      </c>
      <c r="G18" s="59">
        <f t="shared" si="6"/>
        <v>-2.3623267192171786</v>
      </c>
      <c r="H18" s="59">
        <f t="shared" si="6"/>
        <v>-0.97322730624756071</v>
      </c>
      <c r="I18" s="59">
        <f t="shared" si="6"/>
        <v>-0.92212583177538821</v>
      </c>
      <c r="J18" s="59">
        <f t="shared" si="6"/>
        <v>-0.9483992372112896</v>
      </c>
      <c r="K18" s="59">
        <f t="shared" si="6"/>
        <v>-0.37326560381351304</v>
      </c>
      <c r="L18" s="59">
        <f t="shared" si="6"/>
        <v>-0.76333520731450955</v>
      </c>
      <c r="M18" s="59">
        <f t="shared" si="6"/>
        <v>-0.64551384510604026</v>
      </c>
      <c r="N18" s="59">
        <f t="shared" si="6"/>
        <v>-0.59782024662824063</v>
      </c>
      <c r="O18" s="59">
        <f>IFERROR(O17/$O$8,"na")</f>
        <v>-0.85012477868259939</v>
      </c>
      <c r="P18" s="24"/>
      <c r="Q18" s="59">
        <f>IFERROR(Q17/$O$8,"na")</f>
        <v>-0.86031749281976688</v>
      </c>
      <c r="R18" s="24"/>
      <c r="S18" s="60"/>
    </row>
    <row r="19" spans="1:20" ht="15.75" customHeight="1" x14ac:dyDescent="0.25">
      <c r="A19" s="57"/>
      <c r="B19" s="194" t="s">
        <v>25</v>
      </c>
      <c r="C19" s="63">
        <f>+SUM('[1] P&amp;L (act + Forecast)'!F45:F49)</f>
        <v>-7172</v>
      </c>
      <c r="D19" s="63">
        <f>+SUM('[1] P&amp;L (act + Forecast)'!G45:G49)</f>
        <v>-8431</v>
      </c>
      <c r="E19" s="63">
        <f>+SUM('[1] P&amp;L (act + Forecast)'!H45:H49)</f>
        <v>-14570</v>
      </c>
      <c r="F19" s="63">
        <f>+SUM('[1] P&amp;L (act + Forecast)'!I45:I49)</f>
        <v>-17219</v>
      </c>
      <c r="G19" s="63">
        <f>+SUM('[1] P&amp;L (act + Forecast)'!J45:J49)</f>
        <v>-21426</v>
      </c>
      <c r="H19" s="63">
        <f>+SUM('[1] P&amp;L (act + Forecast)'!K45:K49)</f>
        <v>-19419.099999999999</v>
      </c>
      <c r="I19" s="63">
        <f>+SUM('[1] P&amp;L (act + Forecast)'!L45:L49)</f>
        <v>-19419.099999999999</v>
      </c>
      <c r="J19" s="63">
        <f>+SUM('[1] P&amp;L (act + Forecast)'!M45:M49)</f>
        <v>-15679.05</v>
      </c>
      <c r="K19" s="63">
        <f>+SUM('[1] P&amp;L (act + Forecast)'!N45:N49)</f>
        <v>-20115.12</v>
      </c>
      <c r="L19" s="63">
        <f>+SUM('[1] P&amp;L (act + Forecast)'!O45:O49)</f>
        <v>-21519.1</v>
      </c>
      <c r="M19" s="63">
        <f>+SUM('[1] P&amp;L (act + Forecast)'!P45:P49)</f>
        <v>-19919.099999999999</v>
      </c>
      <c r="N19" s="63">
        <f>+SUM('[1] P&amp;L (act + Forecast)'!Q45:Q49)</f>
        <v>-19919.099999999999</v>
      </c>
      <c r="O19" s="63">
        <f>+SUM(C19:N19)</f>
        <v>-204807.67000000004</v>
      </c>
      <c r="P19" s="24"/>
      <c r="Q19" s="62">
        <f>+'[1] P&amp;L (act + Forecast)'!$T$45+'[1] P&amp;L (act + Forecast)'!$T$46+'[1] P&amp;L (act + Forecast)'!$T$48+'[1] P&amp;L (act + Forecast)'!$T$49</f>
        <v>-199412.30720000001</v>
      </c>
      <c r="R19" s="24"/>
      <c r="S19" s="62">
        <f>+O19-Q19</f>
        <v>-5395.3628000000317</v>
      </c>
      <c r="T19" s="5" t="s">
        <v>100</v>
      </c>
    </row>
    <row r="20" spans="1:20" ht="15.75" customHeight="1" x14ac:dyDescent="0.25">
      <c r="A20" s="64"/>
      <c r="B20" s="194" t="s">
        <v>26</v>
      </c>
      <c r="C20" s="63">
        <f>+'[1] P&amp;L (act + Forecast)'!F$50</f>
        <v>-1966</v>
      </c>
      <c r="D20" s="63">
        <f>+'[1] P&amp;L (act + Forecast)'!G$50</f>
        <v>-1723</v>
      </c>
      <c r="E20" s="63">
        <f>+'[1] P&amp;L (act + Forecast)'!H$50</f>
        <v>-2057</v>
      </c>
      <c r="F20" s="63">
        <f>+'[1] P&amp;L (act + Forecast)'!I$50</f>
        <v>-1561</v>
      </c>
      <c r="G20" s="63">
        <f>+'[1] P&amp;L (act + Forecast)'!J$50</f>
        <v>-4647</v>
      </c>
      <c r="H20" s="63">
        <f>+'[1] P&amp;L (act + Forecast)'!K$50</f>
        <v>-2476.65</v>
      </c>
      <c r="I20" s="63">
        <f>+'[1] P&amp;L (act + Forecast)'!L$50</f>
        <v>-2476.65</v>
      </c>
      <c r="J20" s="63">
        <f>+'[1] P&amp;L (act + Forecast)'!M$50</f>
        <v>-6076.65</v>
      </c>
      <c r="K20" s="63">
        <f>+'[1] P&amp;L (act + Forecast)'!N$50</f>
        <v>-2476.65</v>
      </c>
      <c r="L20" s="63">
        <f>+'[1] P&amp;L (act + Forecast)'!O$50</f>
        <v>-3923.65</v>
      </c>
      <c r="M20" s="63">
        <f>+'[1] P&amp;L (act + Forecast)'!P$50</f>
        <v>-3186.65</v>
      </c>
      <c r="N20" s="63">
        <f>+'[1] P&amp;L (act + Forecast)'!Q$50</f>
        <v>-3186.65</v>
      </c>
      <c r="O20" s="63">
        <f>+SUM(C20:N20)</f>
        <v>-35757.550000000003</v>
      </c>
      <c r="P20" s="24"/>
      <c r="Q20" s="63">
        <f>+'[1] P&amp;L (act + Forecast)'!$T$50</f>
        <v>-44037.209999999992</v>
      </c>
      <c r="R20" s="24"/>
      <c r="S20" s="62">
        <f>+O20-Q20</f>
        <v>8279.6599999999889</v>
      </c>
    </row>
    <row r="21" spans="1:20" ht="15.75" customHeight="1" x14ac:dyDescent="0.25">
      <c r="A21" s="50"/>
      <c r="B21" s="191" t="s">
        <v>27</v>
      </c>
      <c r="C21" s="52">
        <f t="shared" ref="C21:O21" si="7">C15+C17</f>
        <v>-20463.333333333336</v>
      </c>
      <c r="D21" s="52">
        <f t="shared" si="7"/>
        <v>-31327.333333333332</v>
      </c>
      <c r="E21" s="52">
        <f t="shared" si="7"/>
        <v>-35203.333333333336</v>
      </c>
      <c r="F21" s="52">
        <f t="shared" si="7"/>
        <v>-32931</v>
      </c>
      <c r="G21" s="52">
        <f t="shared" si="7"/>
        <v>-37697</v>
      </c>
      <c r="H21" s="52">
        <f t="shared" si="7"/>
        <v>-37744.814820109052</v>
      </c>
      <c r="I21" s="52">
        <f t="shared" si="7"/>
        <v>-35285.524460098786</v>
      </c>
      <c r="J21" s="52">
        <f t="shared" si="7"/>
        <v>-30293.132381066993</v>
      </c>
      <c r="K21" s="52">
        <f t="shared" si="7"/>
        <v>-20683.528595970056</v>
      </c>
      <c r="L21" s="52">
        <f t="shared" si="7"/>
        <v>-41830.960237892628</v>
      </c>
      <c r="M21" s="52">
        <f t="shared" si="7"/>
        <v>-32885.941203497125</v>
      </c>
      <c r="N21" s="52">
        <f t="shared" si="7"/>
        <v>-31516.941256723057</v>
      </c>
      <c r="O21" s="52">
        <f t="shared" si="7"/>
        <v>-387862.84295535774</v>
      </c>
      <c r="P21" s="24"/>
      <c r="Q21" s="52">
        <f>Q15+Q17</f>
        <v>-264074.92121301033</v>
      </c>
      <c r="R21" s="24"/>
      <c r="S21" s="25">
        <f>+O21-Q21</f>
        <v>-123787.92174234742</v>
      </c>
      <c r="T21" s="66"/>
    </row>
    <row r="22" spans="1:20" ht="15.75" customHeight="1" x14ac:dyDescent="0.25">
      <c r="A22" s="50"/>
      <c r="B22" s="193" t="s">
        <v>20</v>
      </c>
      <c r="C22" s="174">
        <f t="shared" ref="C22:O22" si="8">IFERROR(C21/C8,"na")</f>
        <v>-4.5013931661533952</v>
      </c>
      <c r="D22" s="67">
        <f t="shared" si="8"/>
        <v>-6.1667979002624671</v>
      </c>
      <c r="E22" s="67">
        <f t="shared" si="8"/>
        <v>-3.3514216806296018</v>
      </c>
      <c r="F22" s="67">
        <f t="shared" si="8"/>
        <v>-2.2985272562294967</v>
      </c>
      <c r="G22" s="67">
        <f t="shared" si="8"/>
        <v>-3.4155114614478572</v>
      </c>
      <c r="H22" s="67">
        <f t="shared" si="8"/>
        <v>-1.6776901659996915</v>
      </c>
      <c r="I22" s="67">
        <f t="shared" si="8"/>
        <v>-1.4860278178367672</v>
      </c>
      <c r="J22" s="67">
        <f t="shared" si="8"/>
        <v>-1.3205727070581299</v>
      </c>
      <c r="K22" s="67">
        <f t="shared" si="8"/>
        <v>-0.34173726938477272</v>
      </c>
      <c r="L22" s="67">
        <f t="shared" si="8"/>
        <v>-1.2550154643407956</v>
      </c>
      <c r="M22" s="67">
        <f t="shared" si="8"/>
        <v>-0.91874664774788051</v>
      </c>
      <c r="N22" s="67">
        <f t="shared" si="8"/>
        <v>-0.8154448825535614</v>
      </c>
      <c r="O22" s="67">
        <f t="shared" si="8"/>
        <v>-1.3706545506728995</v>
      </c>
      <c r="P22"/>
      <c r="Q22" s="67">
        <f>IFERROR(Q21/Q8,"na")</f>
        <v>-0.52546566382136484</v>
      </c>
      <c r="R22"/>
      <c r="S22" s="58"/>
    </row>
    <row r="23" spans="1:20" ht="15.75" customHeight="1" x14ac:dyDescent="0.25">
      <c r="A23" s="68"/>
      <c r="B23" s="216" t="s">
        <v>28</v>
      </c>
      <c r="C23" s="141">
        <f>+'[1] P&amp;L (act + Forecast)'!F60</f>
        <v>-1958</v>
      </c>
      <c r="D23" s="141">
        <f>+'[1] P&amp;L (act + Forecast)'!G60</f>
        <v>-1829</v>
      </c>
      <c r="E23" s="141">
        <f>+'[1] P&amp;L (act + Forecast)'!H60</f>
        <v>-2683</v>
      </c>
      <c r="F23" s="141">
        <f>+'[1] P&amp;L (act + Forecast)'!I60</f>
        <v>-2744</v>
      </c>
      <c r="G23" s="141">
        <f>+'[1] P&amp;L (act + Forecast)'!J60</f>
        <v>-2987</v>
      </c>
      <c r="H23" s="141">
        <f>+'[1] P&amp;L (act + Forecast)'!K60</f>
        <v>-2802.5627450904271</v>
      </c>
      <c r="I23" s="141">
        <f>+'[1] P&amp;L (act + Forecast)'!L60</f>
        <v>-3216.183490308958</v>
      </c>
      <c r="J23" s="141">
        <f>+'[1] P&amp;L (act + Forecast)'!M60</f>
        <v>-3340.5023735013856</v>
      </c>
      <c r="K23" s="141">
        <f>+'[1] P&amp;L (act + Forecast)'!N60</f>
        <v>-4110.0945872222073</v>
      </c>
      <c r="L23" s="141">
        <f>+'[1] P&amp;L (act + Forecast)'!O60</f>
        <v>-4512.8604347762139</v>
      </c>
      <c r="M23" s="141">
        <f>+'[1] P&amp;L (act + Forecast)'!P60</f>
        <v>-5163.6050491856313</v>
      </c>
      <c r="N23" s="141">
        <f>+'[1] P&amp;L (act + Forecast)'!Q60</f>
        <v>-5416.0190371801646</v>
      </c>
      <c r="O23" s="63">
        <f>+SUM(C23:N23)</f>
        <v>-40762.827717264983</v>
      </c>
      <c r="P23"/>
      <c r="Q23" s="70">
        <f>+'[1] P&amp;L (act + Forecast)'!$T$60</f>
        <v>-42369.945147034094</v>
      </c>
      <c r="R23"/>
      <c r="S23" s="70">
        <f>+O23-Q23</f>
        <v>1607.1174297691105</v>
      </c>
    </row>
    <row r="24" spans="1:20" ht="15.75" customHeight="1" x14ac:dyDescent="0.25">
      <c r="A24" s="71"/>
      <c r="B24" s="196" t="s">
        <v>29</v>
      </c>
      <c r="C24" s="76">
        <f>C21+C23</f>
        <v>-22421.333333333336</v>
      </c>
      <c r="D24" s="73">
        <f t="shared" ref="D24:O24" si="9">D21+D23</f>
        <v>-33156.333333333328</v>
      </c>
      <c r="E24" s="73">
        <f t="shared" si="9"/>
        <v>-37886.333333333336</v>
      </c>
      <c r="F24" s="73">
        <f t="shared" si="9"/>
        <v>-35675</v>
      </c>
      <c r="G24" s="73">
        <f t="shared" si="9"/>
        <v>-40684</v>
      </c>
      <c r="H24" s="73">
        <f t="shared" si="9"/>
        <v>-40547.37756519948</v>
      </c>
      <c r="I24" s="73">
        <f t="shared" si="9"/>
        <v>-38501.707950407741</v>
      </c>
      <c r="J24" s="73">
        <f t="shared" si="9"/>
        <v>-33633.634754568382</v>
      </c>
      <c r="K24" s="73">
        <f t="shared" si="9"/>
        <v>-24793.623183192263</v>
      </c>
      <c r="L24" s="73">
        <f t="shared" si="9"/>
        <v>-46343.820672668844</v>
      </c>
      <c r="M24" s="73">
        <f t="shared" si="9"/>
        <v>-38049.546252682754</v>
      </c>
      <c r="N24" s="73">
        <f t="shared" si="9"/>
        <v>-36932.960293903219</v>
      </c>
      <c r="O24" s="73">
        <f t="shared" si="9"/>
        <v>-428625.67067262274</v>
      </c>
      <c r="P24"/>
      <c r="Q24" s="73">
        <f>Q21+Q23</f>
        <v>-306444.8663600444</v>
      </c>
      <c r="R24"/>
      <c r="S24" s="73">
        <f>+O24-Q24</f>
        <v>-122180.80431257834</v>
      </c>
    </row>
    <row r="25" spans="1:20" ht="15.75" customHeight="1" x14ac:dyDescent="0.25">
      <c r="A25" s="68"/>
      <c r="B25" s="197" t="s">
        <v>20</v>
      </c>
      <c r="C25" s="175">
        <f t="shared" ref="C25:O25" si="10">IFERROR(C24/C8,"na")</f>
        <v>-4.9321014811555948</v>
      </c>
      <c r="D25" s="75">
        <f t="shared" si="10"/>
        <v>-6.5268372703412068</v>
      </c>
      <c r="E25" s="75">
        <f t="shared" si="10"/>
        <v>-3.6068481848184821</v>
      </c>
      <c r="F25" s="75">
        <f t="shared" si="10"/>
        <v>-2.4900537446778808</v>
      </c>
      <c r="G25" s="75">
        <f t="shared" si="10"/>
        <v>-3.6861465978073751</v>
      </c>
      <c r="H25" s="75">
        <f t="shared" si="10"/>
        <v>-1.8022591161838197</v>
      </c>
      <c r="I25" s="75">
        <f t="shared" si="10"/>
        <v>-1.6214753762050997</v>
      </c>
      <c r="J25" s="75">
        <f t="shared" si="10"/>
        <v>-1.4661956887563157</v>
      </c>
      <c r="K25" s="75">
        <f t="shared" si="10"/>
        <v>-0.40964504898018061</v>
      </c>
      <c r="L25" s="75">
        <f t="shared" si="10"/>
        <v>-1.3904106262459099</v>
      </c>
      <c r="M25" s="75">
        <f t="shared" si="10"/>
        <v>-1.0630041832058847</v>
      </c>
      <c r="N25" s="75">
        <f t="shared" si="10"/>
        <v>-0.95557475656978208</v>
      </c>
      <c r="O25" s="75">
        <f t="shared" si="10"/>
        <v>-1.5147048414490012</v>
      </c>
      <c r="P25"/>
      <c r="Q25" s="75">
        <v>-0.60977488656199375</v>
      </c>
      <c r="R25"/>
      <c r="S25" s="75"/>
    </row>
    <row r="26" spans="1:20" ht="15.75" customHeight="1" x14ac:dyDescent="0.25">
      <c r="A26" s="68"/>
      <c r="B26" s="194" t="s">
        <v>30</v>
      </c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/>
      <c r="Q26" s="76"/>
      <c r="R26"/>
      <c r="S26" s="77">
        <f>+O26-Q26</f>
        <v>0</v>
      </c>
    </row>
    <row r="27" spans="1:20" ht="15.75" customHeight="1" x14ac:dyDescent="0.25">
      <c r="A27" s="68"/>
      <c r="B27" s="194" t="s">
        <v>31</v>
      </c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9"/>
      <c r="N27" s="79"/>
      <c r="O27" s="80"/>
      <c r="P27"/>
      <c r="Q27" s="80">
        <v>0</v>
      </c>
      <c r="R27"/>
      <c r="S27" s="81">
        <f>+O27-Q27</f>
        <v>0</v>
      </c>
    </row>
    <row r="28" spans="1:20" ht="15.75" customHeight="1" x14ac:dyDescent="0.25">
      <c r="A28" s="68"/>
      <c r="B28" s="191" t="s">
        <v>32</v>
      </c>
      <c r="C28" s="52">
        <f>+C24+C26+C27</f>
        <v>-22421.333333333336</v>
      </c>
      <c r="D28" s="52">
        <f t="shared" ref="D28:O28" si="11">+D24+D26+D27</f>
        <v>-33156.333333333328</v>
      </c>
      <c r="E28" s="52">
        <f t="shared" si="11"/>
        <v>-37886.333333333336</v>
      </c>
      <c r="F28" s="52">
        <f t="shared" si="11"/>
        <v>-35675</v>
      </c>
      <c r="G28" s="52">
        <f t="shared" si="11"/>
        <v>-40684</v>
      </c>
      <c r="H28" s="52">
        <f t="shared" si="11"/>
        <v>-40547.37756519948</v>
      </c>
      <c r="I28" s="52">
        <f t="shared" si="11"/>
        <v>-38501.707950407741</v>
      </c>
      <c r="J28" s="52">
        <f t="shared" si="11"/>
        <v>-33633.634754568382</v>
      </c>
      <c r="K28" s="52">
        <f t="shared" si="11"/>
        <v>-24793.623183192263</v>
      </c>
      <c r="L28" s="52">
        <f t="shared" si="11"/>
        <v>-46343.820672668844</v>
      </c>
      <c r="M28" s="52">
        <f t="shared" si="11"/>
        <v>-38049.546252682754</v>
      </c>
      <c r="N28" s="52">
        <f t="shared" si="11"/>
        <v>-36932.960293903219</v>
      </c>
      <c r="O28" s="52">
        <f t="shared" si="11"/>
        <v>-428625.67067262274</v>
      </c>
      <c r="P28"/>
      <c r="Q28" s="52">
        <f>+Q24+Q26+Q27</f>
        <v>-306444.8663600444</v>
      </c>
      <c r="R28"/>
      <c r="S28" s="52">
        <f>+O28-Q28</f>
        <v>-122180.80431257834</v>
      </c>
    </row>
    <row r="29" spans="1:20" ht="15.75" customHeight="1" x14ac:dyDescent="0.25">
      <c r="A29" s="50"/>
      <c r="B29" s="198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4"/>
      <c r="N29" s="84"/>
      <c r="O29" s="84"/>
      <c r="P29"/>
      <c r="Q29" s="84"/>
      <c r="R29"/>
      <c r="S29" s="84"/>
    </row>
    <row r="30" spans="1:20" ht="15.75" customHeight="1" x14ac:dyDescent="0.25">
      <c r="A30" s="85"/>
      <c r="B30" s="198"/>
      <c r="C30" s="9" t="str">
        <f t="shared" ref="C30:N30" si="12">+C4</f>
        <v>ACTUAL</v>
      </c>
      <c r="D30" s="9" t="str">
        <f t="shared" si="12"/>
        <v>ACTUAL</v>
      </c>
      <c r="E30" s="9" t="str">
        <f t="shared" si="12"/>
        <v>ACTUAL</v>
      </c>
      <c r="F30" s="9" t="str">
        <f t="shared" si="12"/>
        <v>ACTUAL</v>
      </c>
      <c r="G30" s="9" t="str">
        <f t="shared" si="12"/>
        <v>ACTUAL</v>
      </c>
      <c r="H30" s="10" t="str">
        <f t="shared" si="12"/>
        <v xml:space="preserve">FORECAST </v>
      </c>
      <c r="I30" s="10" t="str">
        <f t="shared" si="12"/>
        <v xml:space="preserve">FORECAST </v>
      </c>
      <c r="J30" s="10" t="str">
        <f t="shared" si="12"/>
        <v xml:space="preserve">FORECAST </v>
      </c>
      <c r="K30" s="10" t="str">
        <f t="shared" si="12"/>
        <v xml:space="preserve">FORECAST </v>
      </c>
      <c r="L30" s="10" t="str">
        <f t="shared" si="12"/>
        <v xml:space="preserve">FORECAST </v>
      </c>
      <c r="M30" s="10" t="str">
        <f t="shared" si="12"/>
        <v xml:space="preserve">FORECAST </v>
      </c>
      <c r="N30" s="10" t="str">
        <f t="shared" si="12"/>
        <v xml:space="preserve">FORECAST </v>
      </c>
      <c r="O30" s="87"/>
      <c r="P30"/>
      <c r="Q30" s="88" t="s">
        <v>1</v>
      </c>
      <c r="R30"/>
      <c r="S30" s="87"/>
    </row>
    <row r="31" spans="1:20" ht="15.75" customHeight="1" x14ac:dyDescent="0.25">
      <c r="A31" s="85"/>
      <c r="B31" s="510" t="s">
        <v>33</v>
      </c>
      <c r="C31" s="13">
        <v>2026</v>
      </c>
      <c r="D31" s="13">
        <v>2026</v>
      </c>
      <c r="E31" s="13">
        <v>2026</v>
      </c>
      <c r="F31" s="13">
        <v>2026</v>
      </c>
      <c r="G31" s="13">
        <v>2026</v>
      </c>
      <c r="H31" s="13">
        <v>2026</v>
      </c>
      <c r="I31" s="13">
        <v>2026</v>
      </c>
      <c r="J31" s="13">
        <v>2026</v>
      </c>
      <c r="K31" s="13">
        <v>2026</v>
      </c>
      <c r="L31" s="13">
        <v>2026</v>
      </c>
      <c r="M31" s="13">
        <v>2026</v>
      </c>
      <c r="N31" s="89">
        <v>2026</v>
      </c>
      <c r="O31" s="90"/>
      <c r="P31"/>
      <c r="Q31" s="91">
        <v>2026</v>
      </c>
      <c r="R31"/>
    </row>
    <row r="32" spans="1:20" ht="15.75" customHeight="1" outlineLevel="2" x14ac:dyDescent="0.25">
      <c r="A32" s="68"/>
      <c r="B32" s="511"/>
      <c r="C32" s="176" t="s">
        <v>3</v>
      </c>
      <c r="D32" s="92" t="s">
        <v>4</v>
      </c>
      <c r="E32" s="92" t="s">
        <v>5</v>
      </c>
      <c r="F32" s="92" t="s">
        <v>6</v>
      </c>
      <c r="G32" s="92" t="s">
        <v>7</v>
      </c>
      <c r="H32" s="92" t="s">
        <v>8</v>
      </c>
      <c r="I32" s="92" t="s">
        <v>9</v>
      </c>
      <c r="J32" s="92" t="s">
        <v>10</v>
      </c>
      <c r="K32" s="92" t="s">
        <v>11</v>
      </c>
      <c r="L32" s="92" t="s">
        <v>12</v>
      </c>
      <c r="M32" s="92" t="s">
        <v>13</v>
      </c>
      <c r="N32" s="93" t="s">
        <v>14</v>
      </c>
      <c r="O32" s="94"/>
      <c r="P32"/>
      <c r="Q32" s="88" t="s">
        <v>15</v>
      </c>
      <c r="R32"/>
    </row>
    <row r="33" spans="1:20" ht="15.75" customHeight="1" outlineLevel="2" x14ac:dyDescent="0.25">
      <c r="A33" s="68"/>
      <c r="B33" s="199" t="s">
        <v>34</v>
      </c>
      <c r="C33" s="96">
        <f>+SUM(C34:C36)</f>
        <v>175813</v>
      </c>
      <c r="D33" s="96">
        <f>+SUM(D34:D36)</f>
        <v>53836.59</v>
      </c>
      <c r="E33" s="96">
        <f>+SUM(E34:E36)</f>
        <v>283142.58999999997</v>
      </c>
      <c r="F33" s="96">
        <f t="shared" ref="F33" si="13">+SUM(F34:F36)</f>
        <v>157978.58999999997</v>
      </c>
      <c r="G33" s="96">
        <f>+SUM(G34:G36)</f>
        <v>83131.589999999967</v>
      </c>
      <c r="H33" s="96">
        <f t="shared" ref="H33:N33" si="14">+SUM(H34:H36)</f>
        <v>0</v>
      </c>
      <c r="I33" s="96">
        <f t="shared" si="14"/>
        <v>0</v>
      </c>
      <c r="J33" s="96">
        <f t="shared" si="14"/>
        <v>0</v>
      </c>
      <c r="K33" s="96">
        <f t="shared" si="14"/>
        <v>0</v>
      </c>
      <c r="L33" s="96">
        <f t="shared" si="14"/>
        <v>0</v>
      </c>
      <c r="M33" s="96">
        <f t="shared" si="14"/>
        <v>0</v>
      </c>
      <c r="N33" s="96">
        <f t="shared" si="14"/>
        <v>0</v>
      </c>
      <c r="O33" s="97"/>
      <c r="P33"/>
      <c r="Q33" s="98">
        <f>+'[1] P&amp;L (act + Forecast)'!$T$73</f>
        <v>502554.09514784953</v>
      </c>
      <c r="R33"/>
    </row>
    <row r="34" spans="1:20" ht="15.75" customHeight="1" outlineLevel="2" x14ac:dyDescent="0.25">
      <c r="A34" s="68"/>
      <c r="B34" s="200" t="s">
        <v>35</v>
      </c>
      <c r="C34" s="100">
        <f>+'[1] P&amp;L (act + Forecast)'!$B$95</f>
        <v>72344</v>
      </c>
      <c r="D34" s="100">
        <f>+C45</f>
        <v>49849.59</v>
      </c>
      <c r="E34" s="100">
        <f>+D45</f>
        <v>27868.589999999997</v>
      </c>
      <c r="F34" s="100">
        <f t="shared" ref="F34" si="15">+E45</f>
        <v>149665.58999999997</v>
      </c>
      <c r="G34" s="100">
        <f>+F45</f>
        <v>71242.589999999967</v>
      </c>
      <c r="H34" s="100"/>
      <c r="I34" s="100"/>
      <c r="J34" s="100"/>
      <c r="K34" s="100"/>
      <c r="L34" s="100"/>
      <c r="M34" s="100"/>
      <c r="N34" s="100"/>
      <c r="O34" s="97"/>
      <c r="P34"/>
      <c r="Q34" s="101"/>
      <c r="R34"/>
    </row>
    <row r="35" spans="1:20" ht="15.75" customHeight="1" outlineLevel="2" x14ac:dyDescent="0.25">
      <c r="A35" s="68"/>
      <c r="B35" s="200" t="s">
        <v>36</v>
      </c>
      <c r="C35" s="177">
        <f>+SUM('[1] P&amp;L (act + Forecast)'!F74:F76)</f>
        <v>3469</v>
      </c>
      <c r="D35" s="177">
        <f>+SUM('[1] P&amp;L (act + Forecast)'!G74:G76)</f>
        <v>3987</v>
      </c>
      <c r="E35" s="177">
        <f>+SUM('[1] P&amp;L (act + Forecast)'!H74:H76)</f>
        <v>5274</v>
      </c>
      <c r="F35" s="177">
        <f>+SUM('[1] P&amp;L (act + Forecast)'!I74:I76)</f>
        <v>8313</v>
      </c>
      <c r="G35" s="177">
        <f>+SUM('[1] P&amp;L (act + Forecast)'!J74:J76)</f>
        <v>11889</v>
      </c>
      <c r="H35" s="102"/>
      <c r="I35" s="102"/>
      <c r="J35" s="102"/>
      <c r="K35" s="102"/>
      <c r="L35" s="102"/>
      <c r="M35" s="102"/>
      <c r="N35" s="102"/>
      <c r="O35" s="97"/>
      <c r="P35"/>
      <c r="Q35" s="103"/>
      <c r="R35"/>
    </row>
    <row r="36" spans="1:20" ht="15.75" customHeight="1" outlineLevel="2" x14ac:dyDescent="0.25">
      <c r="A36" s="68"/>
      <c r="B36" s="201" t="s">
        <v>37</v>
      </c>
      <c r="C36" s="105">
        <f>+'[1] P&amp;L (act + Forecast)'!F77</f>
        <v>100000</v>
      </c>
      <c r="D36" s="105">
        <f>+'[1] P&amp;L (act + Forecast)'!G77</f>
        <v>0</v>
      </c>
      <c r="E36" s="105">
        <f>+'[1] P&amp;L (act + Forecast)'!H77</f>
        <v>250000</v>
      </c>
      <c r="F36" s="105">
        <f>+'[1] P&amp;L (act + Forecast)'!I77</f>
        <v>0</v>
      </c>
      <c r="G36" s="105">
        <f>+'[1] P&amp;L (act + Forecast)'!J77</f>
        <v>0</v>
      </c>
      <c r="H36" s="105"/>
      <c r="I36" s="105"/>
      <c r="J36" s="105"/>
      <c r="K36" s="105"/>
      <c r="L36" s="105"/>
      <c r="M36" s="105"/>
      <c r="N36" s="105"/>
      <c r="O36" s="97"/>
      <c r="P36"/>
      <c r="Q36" s="101"/>
      <c r="R36"/>
    </row>
    <row r="37" spans="1:20" ht="15.75" customHeight="1" outlineLevel="2" x14ac:dyDescent="0.25">
      <c r="A37" s="68"/>
      <c r="B37" s="202" t="s">
        <v>38</v>
      </c>
      <c r="C37" s="178">
        <f>+SUM(C38:C41)</f>
        <v>-37074</v>
      </c>
      <c r="D37" s="107">
        <f t="shared" ref="D37:N37" si="16">+SUM(D38:D41)</f>
        <v>-17710</v>
      </c>
      <c r="E37" s="107">
        <f t="shared" si="16"/>
        <v>-41810</v>
      </c>
      <c r="F37" s="107">
        <f t="shared" si="16"/>
        <v>-60862</v>
      </c>
      <c r="G37" s="107">
        <f t="shared" si="16"/>
        <v>-48273</v>
      </c>
      <c r="H37" s="107">
        <f t="shared" si="16"/>
        <v>0</v>
      </c>
      <c r="I37" s="107">
        <f t="shared" si="16"/>
        <v>0</v>
      </c>
      <c r="J37" s="107">
        <f t="shared" si="16"/>
        <v>0</v>
      </c>
      <c r="K37" s="107">
        <f t="shared" si="16"/>
        <v>0</v>
      </c>
      <c r="L37" s="107">
        <f t="shared" si="16"/>
        <v>0</v>
      </c>
      <c r="M37" s="107">
        <f t="shared" si="16"/>
        <v>0</v>
      </c>
      <c r="N37" s="108">
        <f t="shared" si="16"/>
        <v>0</v>
      </c>
      <c r="O37" s="97"/>
      <c r="P37"/>
      <c r="Q37" s="98">
        <f>+'[1] P&amp;L (act + Forecast)'!$T$78</f>
        <v>-766629.01636086078</v>
      </c>
      <c r="R37"/>
    </row>
    <row r="38" spans="1:20" ht="15.75" customHeight="1" outlineLevel="2" x14ac:dyDescent="0.25">
      <c r="A38" s="68"/>
      <c r="B38" s="203" t="s">
        <v>39</v>
      </c>
      <c r="C38" s="80">
        <f>+'[1] P&amp;L (act + Forecast)'!F79</f>
        <v>-8526</v>
      </c>
      <c r="D38" s="80">
        <f>+'[1] P&amp;L (act + Forecast)'!G79</f>
        <v>-4617</v>
      </c>
      <c r="E38" s="80">
        <f>+'[1] P&amp;L (act + Forecast)'!H79</f>
        <v>-10614</v>
      </c>
      <c r="F38" s="80">
        <f>+'[1] P&amp;L (act + Forecast)'!I79</f>
        <v>-17675</v>
      </c>
      <c r="G38" s="80">
        <f>+'[1] P&amp;L (act + Forecast)'!J79</f>
        <v>-23128</v>
      </c>
      <c r="H38" s="80"/>
      <c r="I38" s="80"/>
      <c r="J38" s="80"/>
      <c r="K38" s="80"/>
      <c r="L38" s="80"/>
      <c r="M38" s="80"/>
      <c r="N38" s="80"/>
      <c r="O38" s="110"/>
      <c r="P38"/>
      <c r="Q38" s="111">
        <f>+'[1] P&amp;L (act + Forecast)'!T79</f>
        <v>-246109.02014368944</v>
      </c>
      <c r="R38"/>
    </row>
    <row r="39" spans="1:20" ht="15.75" customHeight="1" outlineLevel="2" x14ac:dyDescent="0.25">
      <c r="A39" s="68"/>
      <c r="B39" s="203" t="s">
        <v>40</v>
      </c>
      <c r="C39" s="80">
        <f>+'[1] P&amp;L (act + Forecast)'!F80</f>
        <v>-15966</v>
      </c>
      <c r="D39" s="80">
        <f>+'[1] P&amp;L (act + Forecast)'!G80</f>
        <v>-2962</v>
      </c>
      <c r="E39" s="80">
        <f>+'[1] P&amp;L (act + Forecast)'!H80</f>
        <v>-23776</v>
      </c>
      <c r="F39" s="80">
        <f>+'[1] P&amp;L (act + Forecast)'!I80</f>
        <v>-25406</v>
      </c>
      <c r="G39" s="80">
        <f>+'[1] P&amp;L (act + Forecast)'!J80</f>
        <v>-11297</v>
      </c>
      <c r="H39" s="80"/>
      <c r="I39" s="80"/>
      <c r="J39" s="80"/>
      <c r="K39" s="80"/>
      <c r="L39" s="80"/>
      <c r="M39" s="80"/>
      <c r="N39" s="80"/>
      <c r="O39" s="110"/>
      <c r="P39"/>
      <c r="Q39" s="111">
        <f>+'[1] P&amp;L (act + Forecast)'!T80</f>
        <v>-277070.47901717131</v>
      </c>
      <c r="R39"/>
    </row>
    <row r="40" spans="1:20" ht="15.75" customHeight="1" x14ac:dyDescent="0.25">
      <c r="A40" s="85"/>
      <c r="B40" s="203" t="s">
        <v>41</v>
      </c>
      <c r="C40" s="80">
        <f>+'[1] P&amp;L (act + Forecast)'!F81</f>
        <v>-12582</v>
      </c>
      <c r="D40" s="80">
        <f>+'[1] P&amp;L (act + Forecast)'!G81</f>
        <v>-10131</v>
      </c>
      <c r="E40" s="80">
        <f>+'[1] P&amp;L (act + Forecast)'!H81</f>
        <v>-7420</v>
      </c>
      <c r="F40" s="80">
        <f>+'[1] P&amp;L (act + Forecast)'!I81</f>
        <v>-17781</v>
      </c>
      <c r="G40" s="80">
        <f>+'[1] P&amp;L (act + Forecast)'!J81</f>
        <v>-13848</v>
      </c>
      <c r="H40" s="80"/>
      <c r="I40" s="80"/>
      <c r="J40" s="80"/>
      <c r="K40" s="80"/>
      <c r="L40" s="80"/>
      <c r="M40" s="80"/>
      <c r="N40" s="80"/>
      <c r="O40" s="110"/>
      <c r="P40"/>
      <c r="Q40" s="111">
        <f>+'[1] P&amp;L (act + Forecast)'!T81</f>
        <v>-243449.51720000006</v>
      </c>
      <c r="R40"/>
    </row>
    <row r="41" spans="1:20" ht="15.75" customHeight="1" x14ac:dyDescent="0.25">
      <c r="A41" s="50"/>
      <c r="B41" s="204" t="s">
        <v>42</v>
      </c>
      <c r="C41" s="80">
        <v>0</v>
      </c>
      <c r="D41" s="80">
        <v>0</v>
      </c>
      <c r="E41" s="80">
        <v>0</v>
      </c>
      <c r="F41" s="80">
        <v>0</v>
      </c>
      <c r="G41" s="80">
        <v>0</v>
      </c>
      <c r="H41" s="80"/>
      <c r="I41" s="80"/>
      <c r="J41" s="80"/>
      <c r="K41" s="80"/>
      <c r="L41" s="80"/>
      <c r="M41" s="80"/>
      <c r="N41" s="80"/>
      <c r="O41" s="110"/>
      <c r="P41"/>
      <c r="Q41" s="111">
        <f>+'[1] P&amp;L (act + Forecast)'!T82</f>
        <v>0</v>
      </c>
      <c r="R41"/>
    </row>
    <row r="42" spans="1:20" ht="15.75" customHeight="1" x14ac:dyDescent="0.25">
      <c r="A42" s="85"/>
      <c r="B42" s="205" t="s">
        <v>43</v>
      </c>
      <c r="C42" s="97">
        <f>+'[1] P&amp;L (act + Forecast)'!F83</f>
        <v>-85729</v>
      </c>
      <c r="D42" s="97">
        <f>+'[1] P&amp;L (act + Forecast)'!G83</f>
        <v>-8258</v>
      </c>
      <c r="E42" s="97">
        <f>+'[1] P&amp;L (act + Forecast)'!H83</f>
        <v>-91667</v>
      </c>
      <c r="F42" s="97">
        <f>+'[1] P&amp;L (act + Forecast)'!I83</f>
        <v>-25874</v>
      </c>
      <c r="G42" s="97">
        <f>+'[1] P&amp;L (act + Forecast)'!J83</f>
        <v>-17268</v>
      </c>
      <c r="H42" s="97"/>
      <c r="I42" s="97"/>
      <c r="J42" s="97"/>
      <c r="K42" s="97"/>
      <c r="L42" s="97"/>
      <c r="M42" s="97"/>
      <c r="N42" s="97"/>
      <c r="O42" s="97"/>
      <c r="P42"/>
      <c r="Q42" s="114">
        <f>+'[1] P&amp;L (act + Forecast)'!$T$83</f>
        <v>-423884.24601725501</v>
      </c>
      <c r="R42"/>
    </row>
    <row r="43" spans="1:20" ht="15.75" customHeight="1" x14ac:dyDescent="0.25">
      <c r="A43" s="85"/>
      <c r="B43" s="202" t="s">
        <v>44</v>
      </c>
      <c r="C43" s="179">
        <f t="shared" ref="C43:N43" si="17">+C37+C42</f>
        <v>-122803</v>
      </c>
      <c r="D43" s="117">
        <f t="shared" si="17"/>
        <v>-25968</v>
      </c>
      <c r="E43" s="117">
        <f t="shared" si="17"/>
        <v>-133477</v>
      </c>
      <c r="F43" s="117">
        <f t="shared" si="17"/>
        <v>-86736</v>
      </c>
      <c r="G43" s="117">
        <f t="shared" si="17"/>
        <v>-65541</v>
      </c>
      <c r="H43" s="117">
        <f t="shared" si="17"/>
        <v>0</v>
      </c>
      <c r="I43" s="117">
        <f t="shared" si="17"/>
        <v>0</v>
      </c>
      <c r="J43" s="117">
        <f t="shared" si="17"/>
        <v>0</v>
      </c>
      <c r="K43" s="117">
        <f t="shared" si="17"/>
        <v>0</v>
      </c>
      <c r="L43" s="117">
        <f t="shared" si="17"/>
        <v>0</v>
      </c>
      <c r="M43" s="117">
        <f t="shared" si="17"/>
        <v>0</v>
      </c>
      <c r="N43" s="118">
        <f t="shared" si="17"/>
        <v>0</v>
      </c>
      <c r="O43" s="97"/>
      <c r="P43"/>
      <c r="Q43" s="119">
        <f>+Q37+Q42</f>
        <v>-1190513.2623781157</v>
      </c>
      <c r="R43"/>
    </row>
    <row r="44" spans="1:20" s="127" customFormat="1" ht="15.75" customHeight="1" x14ac:dyDescent="0.25">
      <c r="A44" s="71"/>
      <c r="B44" s="206" t="s">
        <v>45</v>
      </c>
      <c r="C44" s="121">
        <f>+'[1] P&amp;L (act + Forecast)'!F89</f>
        <v>-3160.41</v>
      </c>
      <c r="D44" s="121">
        <f>+'[1] P&amp;L (act + Forecast)'!G89</f>
        <v>0</v>
      </c>
      <c r="E44" s="121">
        <f>+'[1] P&amp;L (act + Forecast)'!H89</f>
        <v>0</v>
      </c>
      <c r="F44" s="121">
        <f>+'[1] P&amp;L (act + Forecast)'!I89</f>
        <v>0</v>
      </c>
      <c r="G44" s="121">
        <f>+'[1] P&amp;L (act + Forecast)'!J89</f>
        <v>0</v>
      </c>
      <c r="H44" s="121"/>
      <c r="I44" s="121"/>
      <c r="J44" s="121"/>
      <c r="K44" s="121"/>
      <c r="L44" s="121"/>
      <c r="M44" s="121"/>
      <c r="N44" s="121"/>
      <c r="O44" s="124"/>
      <c r="P44" s="125"/>
      <c r="Q44" s="126"/>
      <c r="R44" s="125"/>
      <c r="S44" s="5"/>
      <c r="T44" s="5"/>
    </row>
    <row r="45" spans="1:20" ht="15" customHeight="1" x14ac:dyDescent="0.25">
      <c r="B45" s="207" t="s">
        <v>46</v>
      </c>
      <c r="C45" s="180">
        <f>C33+C43+C44</f>
        <v>49849.59</v>
      </c>
      <c r="D45" s="107">
        <f t="shared" ref="D45:F45" si="18">D33+D43+D44</f>
        <v>27868.589999999997</v>
      </c>
      <c r="E45" s="107">
        <f t="shared" si="18"/>
        <v>149665.58999999997</v>
      </c>
      <c r="F45" s="107">
        <f t="shared" si="18"/>
        <v>71242.589999999967</v>
      </c>
      <c r="G45" s="107">
        <f>G33+G43+G44</f>
        <v>17590.589999999967</v>
      </c>
      <c r="H45" s="107"/>
      <c r="I45" s="107"/>
      <c r="J45" s="107"/>
      <c r="K45" s="107"/>
      <c r="L45" s="107"/>
      <c r="M45" s="107"/>
      <c r="N45" s="108"/>
      <c r="O45" s="97"/>
      <c r="P45"/>
      <c r="Q45" s="107">
        <f>Q33+Q43+Q44</f>
        <v>-687959.16723026615</v>
      </c>
      <c r="R45"/>
    </row>
    <row r="46" spans="1:20" s="34" customFormat="1" ht="15" customHeight="1" x14ac:dyDescent="0.25">
      <c r="B46" s="208"/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132"/>
      <c r="Q46" s="97"/>
      <c r="R46" s="132"/>
    </row>
    <row r="47" spans="1:20" s="34" customFormat="1" ht="15" customHeight="1" x14ac:dyDescent="0.25">
      <c r="B47" s="208"/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132"/>
      <c r="Q47" s="97"/>
      <c r="R47" s="132"/>
    </row>
    <row r="48" spans="1:20" s="34" customFormat="1" ht="19.5" customHeight="1" x14ac:dyDescent="0.25">
      <c r="B48" s="209"/>
      <c r="C48" s="9" t="str">
        <f t="shared" ref="C48:N48" si="19">+C4</f>
        <v>ACTUAL</v>
      </c>
      <c r="D48" s="9" t="str">
        <f t="shared" si="19"/>
        <v>ACTUAL</v>
      </c>
      <c r="E48" s="9" t="str">
        <f t="shared" si="19"/>
        <v>ACTUAL</v>
      </c>
      <c r="F48" s="9" t="str">
        <f t="shared" si="19"/>
        <v>ACTUAL</v>
      </c>
      <c r="G48" s="9" t="str">
        <f t="shared" si="19"/>
        <v>ACTUAL</v>
      </c>
      <c r="H48" s="10" t="str">
        <f t="shared" si="19"/>
        <v xml:space="preserve">FORECAST </v>
      </c>
      <c r="I48" s="10" t="str">
        <f t="shared" si="19"/>
        <v xml:space="preserve">FORECAST </v>
      </c>
      <c r="J48" s="10" t="str">
        <f t="shared" si="19"/>
        <v xml:space="preserve">FORECAST </v>
      </c>
      <c r="K48" s="10" t="str">
        <f t="shared" si="19"/>
        <v xml:space="preserve">FORECAST </v>
      </c>
      <c r="L48" s="10" t="str">
        <f t="shared" si="19"/>
        <v xml:space="preserve">FORECAST </v>
      </c>
      <c r="M48" s="10" t="str">
        <f t="shared" si="19"/>
        <v xml:space="preserve">FORECAST </v>
      </c>
      <c r="N48" s="10" t="str">
        <f t="shared" si="19"/>
        <v xml:space="preserve">FORECAST </v>
      </c>
      <c r="P48" s="132"/>
      <c r="R48" s="132"/>
    </row>
    <row r="49" spans="1:18" ht="15.75" customHeight="1" x14ac:dyDescent="0.25">
      <c r="A49" s="85"/>
      <c r="B49" s="510" t="s">
        <v>55</v>
      </c>
      <c r="C49" s="13">
        <v>2026</v>
      </c>
      <c r="D49" s="13">
        <v>2026</v>
      </c>
      <c r="E49" s="13">
        <v>2026</v>
      </c>
      <c r="F49" s="13">
        <v>2026</v>
      </c>
      <c r="G49" s="13">
        <v>2026</v>
      </c>
      <c r="H49" s="13">
        <v>2026</v>
      </c>
      <c r="I49" s="13">
        <v>2026</v>
      </c>
      <c r="J49" s="13">
        <v>2026</v>
      </c>
      <c r="K49" s="13">
        <v>2026</v>
      </c>
      <c r="L49" s="13">
        <v>2026</v>
      </c>
      <c r="M49" s="13">
        <v>2026</v>
      </c>
      <c r="N49" s="89">
        <v>2026</v>
      </c>
      <c r="O49" s="90"/>
      <c r="P49"/>
      <c r="R49"/>
    </row>
    <row r="50" spans="1:18" ht="15.75" customHeight="1" x14ac:dyDescent="0.25">
      <c r="A50" s="68"/>
      <c r="B50" s="511"/>
      <c r="C50" s="176" t="s">
        <v>3</v>
      </c>
      <c r="D50" s="92" t="s">
        <v>4</v>
      </c>
      <c r="E50" s="92" t="s">
        <v>5</v>
      </c>
      <c r="F50" s="92" t="s">
        <v>6</v>
      </c>
      <c r="G50" s="92" t="s">
        <v>7</v>
      </c>
      <c r="H50" s="92" t="s">
        <v>8</v>
      </c>
      <c r="I50" s="92" t="s">
        <v>9</v>
      </c>
      <c r="J50" s="92" t="s">
        <v>10</v>
      </c>
      <c r="K50" s="92" t="s">
        <v>11</v>
      </c>
      <c r="L50" s="92" t="s">
        <v>12</v>
      </c>
      <c r="M50" s="92" t="s">
        <v>13</v>
      </c>
      <c r="N50" s="93" t="s">
        <v>14</v>
      </c>
      <c r="O50" s="94"/>
    </row>
    <row r="51" spans="1:18" ht="15" customHeight="1" x14ac:dyDescent="0.25">
      <c r="B51" s="210" t="s">
        <v>101</v>
      </c>
      <c r="C51" s="46">
        <f>+'[1] P&amp;L (act + Forecast)'!F$11</f>
        <v>27</v>
      </c>
      <c r="D51" s="46">
        <f>+'[1] P&amp;L (act + Forecast)'!G$11</f>
        <v>42</v>
      </c>
      <c r="E51" s="46">
        <f>+'[1] P&amp;L (act + Forecast)'!H$11</f>
        <v>62</v>
      </c>
      <c r="F51" s="46">
        <f>+'[1] P&amp;L (act + Forecast)'!I$11</f>
        <v>52</v>
      </c>
      <c r="G51" s="46">
        <f>+'[1] P&amp;L (act + Forecast)'!J$11</f>
        <v>63</v>
      </c>
      <c r="H51" s="46">
        <f>+'[1] P&amp;L (act + Forecast)'!K$11</f>
        <v>127.9025</v>
      </c>
      <c r="I51" s="46">
        <f>+'[1] P&amp;L (act + Forecast)'!L$11</f>
        <v>128.49062499999999</v>
      </c>
      <c r="J51" s="46">
        <f>+'[1] P&amp;L (act + Forecast)'!M$11</f>
        <v>86.89815625</v>
      </c>
      <c r="K51" s="46">
        <f>+'[1] P&amp;L (act + Forecast)'!N$11</f>
        <v>188.31615625000003</v>
      </c>
      <c r="L51" s="46">
        <f>+'[1] P&amp;L (act + Forecast)'!O$11</f>
        <v>168.05356406250002</v>
      </c>
      <c r="M51" s="46">
        <f>+'[1] P&amp;L (act + Forecast)'!P$11</f>
        <v>156.28524226562502</v>
      </c>
      <c r="N51" s="46">
        <f>+'[1] P&amp;L (act + Forecast)'!Q$11</f>
        <v>151.28554437890625</v>
      </c>
    </row>
    <row r="52" spans="1:18" s="127" customFormat="1" ht="15" customHeight="1" x14ac:dyDescent="0.25">
      <c r="B52" s="185" t="s">
        <v>102</v>
      </c>
      <c r="C52" s="494">
        <f>+'[1] P&amp;L (act + Forecast)'!F$17</f>
        <v>0</v>
      </c>
      <c r="D52" s="494">
        <f>+'[1] P&amp;L (act + Forecast)'!G$17</f>
        <v>9.52380952380949E-3</v>
      </c>
      <c r="E52" s="494">
        <f>+'[1] P&amp;L (act + Forecast)'!H$17</f>
        <v>1.4925373134328401E-2</v>
      </c>
      <c r="F52" s="494">
        <f>+'[1] P&amp;L (act + Forecast)'!I$17</f>
        <v>0</v>
      </c>
      <c r="G52" s="494">
        <f>+'[1] P&amp;L (act + Forecast)'!J$17</f>
        <v>1.3227513227513255E-2</v>
      </c>
      <c r="H52" s="494">
        <f>+'[1] P&amp;L (act + Forecast)'!$K$15</f>
        <v>1.9730351857941468E-2</v>
      </c>
      <c r="I52" s="494">
        <f>+'[1] P&amp;L (act + Forecast)'!$K$15</f>
        <v>1.9730351857941468E-2</v>
      </c>
      <c r="J52" s="494">
        <f>+'[1] P&amp;L (act + Forecast)'!$K$15</f>
        <v>1.9730351857941468E-2</v>
      </c>
      <c r="K52" s="494">
        <f>+'[1] P&amp;L (act + Forecast)'!$K$15</f>
        <v>1.9730351857941468E-2</v>
      </c>
      <c r="L52" s="494">
        <f>+'[1] P&amp;L (act + Forecast)'!$K$15</f>
        <v>1.9730351857941468E-2</v>
      </c>
      <c r="M52" s="494">
        <f>+'[1] P&amp;L (act + Forecast)'!$K$15</f>
        <v>1.9730351857941468E-2</v>
      </c>
      <c r="N52" s="494">
        <f>+'[1] P&amp;L (act + Forecast)'!$K$15</f>
        <v>1.9730351857941468E-2</v>
      </c>
    </row>
    <row r="53" spans="1:18" ht="6.6" customHeight="1" x14ac:dyDescent="0.25">
      <c r="B53" s="210"/>
    </row>
    <row r="54" spans="1:18" ht="15" customHeight="1" x14ac:dyDescent="0.25">
      <c r="B54" s="210" t="s">
        <v>57</v>
      </c>
      <c r="C54" s="46">
        <v>8675</v>
      </c>
      <c r="D54" s="46">
        <v>12210</v>
      </c>
      <c r="E54" s="46">
        <v>23132</v>
      </c>
      <c r="F54" s="46">
        <v>18475</v>
      </c>
      <c r="G54" s="46">
        <v>18813</v>
      </c>
    </row>
    <row r="55" spans="1:18" s="132" customFormat="1" ht="6" customHeight="1" x14ac:dyDescent="0.25">
      <c r="B55" s="211"/>
      <c r="E55" s="133"/>
    </row>
    <row r="56" spans="1:18" ht="15" customHeight="1" x14ac:dyDescent="0.25">
      <c r="B56" s="512" t="s">
        <v>60</v>
      </c>
      <c r="C56" s="513"/>
      <c r="D56" s="513"/>
      <c r="E56" s="513"/>
      <c r="F56" s="513"/>
      <c r="G56" s="513"/>
      <c r="H56" s="513"/>
      <c r="I56" s="513"/>
      <c r="J56" s="513"/>
      <c r="K56" s="513"/>
      <c r="L56" s="513"/>
      <c r="M56" s="513"/>
      <c r="N56" s="514"/>
    </row>
    <row r="57" spans="1:18" ht="15" customHeight="1" x14ac:dyDescent="0.25">
      <c r="B57" s="210" t="s">
        <v>103</v>
      </c>
      <c r="C57" s="46">
        <f>-C19/C51</f>
        <v>265.62962962962962</v>
      </c>
      <c r="D57" s="46">
        <f>-D19/D51</f>
        <v>200.73809523809524</v>
      </c>
      <c r="E57" s="46">
        <f>-E19/E51</f>
        <v>235</v>
      </c>
      <c r="F57" s="46">
        <f>-F19/F51</f>
        <v>331.13461538461536</v>
      </c>
      <c r="G57" s="46">
        <f>-G19/G51</f>
        <v>340.09523809523807</v>
      </c>
      <c r="H57" s="495">
        <v>214</v>
      </c>
    </row>
    <row r="58" spans="1:18" ht="8.1" customHeight="1" x14ac:dyDescent="0.25">
      <c r="B58" s="210"/>
      <c r="C58" s="46"/>
      <c r="D58" s="46"/>
      <c r="E58" s="46"/>
      <c r="F58" s="46"/>
      <c r="G58" s="46"/>
      <c r="H58" s="46"/>
    </row>
    <row r="59" spans="1:18" ht="15" customHeight="1" x14ac:dyDescent="0.25">
      <c r="B59" s="210" t="s">
        <v>104</v>
      </c>
      <c r="C59" s="46">
        <f>+C54/C57</f>
        <v>32.658254322364755</v>
      </c>
      <c r="D59" s="46">
        <f>+D54/D57</f>
        <v>60.825524848772389</v>
      </c>
      <c r="E59" s="46">
        <f>+E54/E57</f>
        <v>98.434042553191489</v>
      </c>
      <c r="F59" s="46">
        <f>+F54/F57</f>
        <v>55.793019339102159</v>
      </c>
      <c r="G59" s="46">
        <f>+G54/G57</f>
        <v>55.316858022962762</v>
      </c>
      <c r="H59" s="46"/>
    </row>
    <row r="60" spans="1:18" ht="8.1" customHeight="1" x14ac:dyDescent="0.25">
      <c r="B60" s="210"/>
      <c r="C60" s="46"/>
      <c r="D60" s="46"/>
      <c r="E60" s="46"/>
      <c r="F60" s="46"/>
      <c r="G60" s="46"/>
      <c r="H60" s="46"/>
    </row>
    <row r="61" spans="1:18" ht="15" customHeight="1" x14ac:dyDescent="0.25">
      <c r="B61" s="210" t="s">
        <v>105</v>
      </c>
      <c r="C61" s="46">
        <f>+C57/25</f>
        <v>10.625185185185185</v>
      </c>
      <c r="D61" s="46">
        <f t="shared" ref="D61:F61" si="20">+D57/25</f>
        <v>8.0295238095238091</v>
      </c>
      <c r="E61" s="46">
        <f t="shared" si="20"/>
        <v>9.4</v>
      </c>
      <c r="F61" s="46">
        <f t="shared" si="20"/>
        <v>13.245384615384614</v>
      </c>
      <c r="G61" s="46">
        <f>+G57/25</f>
        <v>13.603809523809524</v>
      </c>
      <c r="H61" s="46"/>
    </row>
    <row r="62" spans="1:18" ht="7.5" customHeight="1" x14ac:dyDescent="0.25">
      <c r="B62" s="210"/>
    </row>
    <row r="63" spans="1:18" ht="15" customHeight="1" x14ac:dyDescent="0.25">
      <c r="B63" s="200"/>
    </row>
  </sheetData>
  <mergeCells count="4">
    <mergeCell ref="B5:B6"/>
    <mergeCell ref="B31:B32"/>
    <mergeCell ref="B49:B50"/>
    <mergeCell ref="B56:N56"/>
  </mergeCells>
  <printOptions horizontalCentered="1" verticalCentered="1" gridLines="1"/>
  <pageMargins left="0.7" right="0.7" top="0.75" bottom="0.75" header="0" footer="0"/>
  <pageSetup paperSize="9" scale="33" pageOrder="overThenDown" orientation="portrait" cellComments="atEnd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53D31-9036-47B2-AEC5-EC4862C10A4A}">
  <sheetPr>
    <tabColor theme="0" tint="-4.9989318521683403E-2"/>
    <outlinePr summaryBelow="0" summaryRight="0"/>
    <pageSetUpPr fitToPage="1"/>
  </sheetPr>
  <dimension ref="A2:U68"/>
  <sheetViews>
    <sheetView showGridLines="0" tabSelected="1" zoomScale="90" zoomScaleNormal="90" workbookViewId="0">
      <pane ySplit="6" topLeftCell="A7" activePane="bottomLeft" state="frozen"/>
      <selection pane="bottomLeft" activeCell="T20" sqref="T20"/>
    </sheetView>
  </sheetViews>
  <sheetFormatPr baseColWidth="10" defaultColWidth="14.42578125" defaultRowHeight="15" customHeight="1" outlineLevelRow="2" outlineLevelCol="1" x14ac:dyDescent="0.25"/>
  <cols>
    <col min="1" max="1" width="4.42578125" style="5" customWidth="1"/>
    <col min="2" max="2" width="36.42578125" style="5" bestFit="1" customWidth="1"/>
    <col min="3" max="3" width="10.28515625" style="5" customWidth="1"/>
    <col min="4" max="4" width="10.5703125" style="5" customWidth="1" outlineLevel="1"/>
    <col min="5" max="5" width="10.140625" style="5" customWidth="1" outlineLevel="1"/>
    <col min="6" max="12" width="10.7109375" style="5" customWidth="1" outlineLevel="1"/>
    <col min="13" max="13" width="9.28515625" style="5" customWidth="1" outlineLevel="1"/>
    <col min="14" max="14" width="10.28515625" style="5" customWidth="1" outlineLevel="1"/>
    <col min="15" max="15" width="12.7109375" style="5" customWidth="1"/>
    <col min="16" max="16" width="3.5703125" customWidth="1"/>
    <col min="17" max="17" width="12.7109375" style="5" customWidth="1"/>
    <col min="18" max="18" width="1" customWidth="1"/>
    <col min="19" max="19" width="12.7109375" style="5" customWidth="1"/>
    <col min="20" max="20" width="33.85546875" style="5" customWidth="1"/>
    <col min="21" max="21" width="14.42578125" style="496"/>
    <col min="22" max="16384" width="14.42578125" style="5"/>
  </cols>
  <sheetData>
    <row r="2" spans="1:21" ht="37.15" customHeight="1" x14ac:dyDescent="0.25">
      <c r="A2" s="1"/>
      <c r="B2" s="169" t="s">
        <v>47</v>
      </c>
      <c r="C2" s="170" t="s">
        <v>48</v>
      </c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213"/>
      <c r="Q2" s="214"/>
      <c r="R2" s="213"/>
      <c r="S2" s="214"/>
      <c r="T2" s="215"/>
    </row>
    <row r="3" spans="1:21" ht="26.25" customHeight="1" x14ac:dyDescent="0.25">
      <c r="A3" s="1"/>
      <c r="B3" s="181"/>
      <c r="C3" s="6"/>
      <c r="D3" s="6"/>
      <c r="E3" s="6"/>
      <c r="F3" s="6"/>
      <c r="G3" s="6"/>
      <c r="H3" s="6"/>
      <c r="I3" s="6"/>
      <c r="J3" s="6"/>
      <c r="K3" s="6"/>
      <c r="L3" s="6"/>
      <c r="M3" s="4"/>
      <c r="N3" s="4"/>
      <c r="O3" s="4"/>
      <c r="Q3" s="4"/>
      <c r="S3" s="4"/>
    </row>
    <row r="4" spans="1:21" ht="15.75" customHeight="1" x14ac:dyDescent="0.25">
      <c r="A4" s="7"/>
      <c r="B4" s="182"/>
      <c r="C4" s="9" t="s">
        <v>49</v>
      </c>
      <c r="D4" s="9" t="s">
        <v>49</v>
      </c>
      <c r="E4" s="9" t="s">
        <v>49</v>
      </c>
      <c r="F4" s="9" t="s">
        <v>49</v>
      </c>
      <c r="G4" s="9" t="s">
        <v>49</v>
      </c>
      <c r="H4" s="10" t="s">
        <v>51</v>
      </c>
      <c r="I4" s="10" t="s">
        <v>51</v>
      </c>
      <c r="J4" s="10" t="s">
        <v>51</v>
      </c>
      <c r="K4" s="10" t="s">
        <v>51</v>
      </c>
      <c r="L4" s="10" t="s">
        <v>51</v>
      </c>
      <c r="M4" s="10" t="s">
        <v>51</v>
      </c>
      <c r="N4" s="10" t="s">
        <v>51</v>
      </c>
      <c r="O4" s="11" t="s">
        <v>52</v>
      </c>
      <c r="Q4" s="11" t="s">
        <v>1</v>
      </c>
    </row>
    <row r="5" spans="1:21" ht="15.75" customHeight="1" x14ac:dyDescent="0.25">
      <c r="A5" s="12"/>
      <c r="B5" s="508" t="s">
        <v>2</v>
      </c>
      <c r="C5" s="13">
        <v>2026</v>
      </c>
      <c r="D5" s="13">
        <v>2026</v>
      </c>
      <c r="E5" s="13">
        <v>2026</v>
      </c>
      <c r="F5" s="13">
        <v>2026</v>
      </c>
      <c r="G5" s="13">
        <v>2026</v>
      </c>
      <c r="H5" s="13">
        <v>2026</v>
      </c>
      <c r="I5" s="13">
        <v>2026</v>
      </c>
      <c r="J5" s="13">
        <v>2026</v>
      </c>
      <c r="K5" s="13">
        <v>2026</v>
      </c>
      <c r="L5" s="13">
        <v>2026</v>
      </c>
      <c r="M5" s="13">
        <v>2026</v>
      </c>
      <c r="N5" s="13">
        <v>2026</v>
      </c>
      <c r="O5" s="14">
        <v>2026</v>
      </c>
      <c r="Q5" s="9">
        <v>2026</v>
      </c>
    </row>
    <row r="6" spans="1:21" ht="12.75" customHeight="1" x14ac:dyDescent="0.3">
      <c r="A6" s="15"/>
      <c r="B6" s="509"/>
      <c r="C6" s="16" t="s">
        <v>3</v>
      </c>
      <c r="D6" s="17" t="s">
        <v>4</v>
      </c>
      <c r="E6" s="17" t="s">
        <v>5</v>
      </c>
      <c r="F6" s="17" t="s">
        <v>6</v>
      </c>
      <c r="G6" s="17" t="s">
        <v>7</v>
      </c>
      <c r="H6" s="17" t="s">
        <v>8</v>
      </c>
      <c r="I6" s="17" t="s">
        <v>9</v>
      </c>
      <c r="J6" s="17" t="s">
        <v>10</v>
      </c>
      <c r="K6" s="17" t="s">
        <v>11</v>
      </c>
      <c r="L6" s="17" t="s">
        <v>12</v>
      </c>
      <c r="M6" s="17" t="s">
        <v>13</v>
      </c>
      <c r="N6" s="17" t="s">
        <v>14</v>
      </c>
      <c r="O6" s="10" t="s">
        <v>15</v>
      </c>
      <c r="Q6" s="11" t="s">
        <v>15</v>
      </c>
      <c r="S6" s="11" t="s">
        <v>53</v>
      </c>
      <c r="T6" s="10" t="s">
        <v>54</v>
      </c>
      <c r="U6" s="497" t="s">
        <v>106</v>
      </c>
    </row>
    <row r="7" spans="1:21" ht="9.6" customHeight="1" x14ac:dyDescent="0.25">
      <c r="A7" s="18"/>
      <c r="B7" s="183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Q7" s="20"/>
      <c r="S7" s="20"/>
      <c r="T7" s="21"/>
    </row>
    <row r="8" spans="1:21" ht="15.75" customHeight="1" x14ac:dyDescent="0.25">
      <c r="A8" s="18"/>
      <c r="B8" s="184" t="s">
        <v>16</v>
      </c>
      <c r="C8" s="23">
        <f>+'Miia '!C8+Mendrugo!C8+Arandovo!C8+Mica!C8+Andala!C8</f>
        <v>134912.60999999999</v>
      </c>
      <c r="D8" s="23">
        <f>+'Miia '!D8+Mendrugo!D8+Arandovo!D8+Mica!D8+Andala!D8</f>
        <v>110507.28</v>
      </c>
      <c r="E8" s="23">
        <f>+'Miia '!E8+Mendrugo!E8+Arandovo!E8+Mica!E8+Andala!E8</f>
        <v>204751.24</v>
      </c>
      <c r="F8" s="23">
        <f>+'Miia '!F8+Mendrugo!F8+Arandovo!F8+Mica!F8+Andala!F8</f>
        <v>202352.47</v>
      </c>
      <c r="G8" s="23">
        <f>+'Miia '!G8+Mendrugo!G8+Arandovo!G8+Mica!G8+Andala!G8</f>
        <v>247443.99000000002</v>
      </c>
      <c r="H8" s="23">
        <f>+'Miia '!H8+Mendrugo!H8+Arandovo!H8+Mica!H8+Andala!H8</f>
        <v>220842.0843215576</v>
      </c>
      <c r="I8" s="23">
        <f>+'Miia '!I8+Mendrugo!I8+Arandovo!I8+Mica!I8+Andala!I8</f>
        <v>265592.86132531788</v>
      </c>
      <c r="J8" s="23">
        <f>+'Miia '!J8+Mendrugo!J8+Arandovo!J8+Mica!J8+Andala!J8</f>
        <v>288154.39002309967</v>
      </c>
      <c r="K8" s="23">
        <f>+'Miia '!K8+Mendrugo!K8+Arandovo!K8+Mica!K8+Andala!K8</f>
        <v>399294.64992538409</v>
      </c>
      <c r="L8" s="23">
        <f>+'Miia '!L8+Mendrugo!L8+Arandovo!L8+Mica!L8+Andala!L8</f>
        <v>361317.03170952923</v>
      </c>
      <c r="M8" s="23">
        <f>+'Miia '!M8+Mendrugo!M8+Arandovo!M8+Mica!M8+Andala!M8</f>
        <v>361131.35232129588</v>
      </c>
      <c r="N8" s="23">
        <f>+'Miia '!N8+Mendrugo!N8+Arandovo!N8+Mica!N8+Andala!N8</f>
        <v>378389.99576430954</v>
      </c>
      <c r="O8" s="23">
        <f>+SUM(C8:N8)</f>
        <v>3174689.9553904943</v>
      </c>
      <c r="P8" s="24"/>
      <c r="Q8" s="23">
        <f>+'Miia '!Q8+Mendrugo!Q8+Arandovo!Q8+Mica!Q8+Andala!Q8</f>
        <v>3462143.09514785</v>
      </c>
      <c r="R8" s="24"/>
      <c r="S8" s="25">
        <f>+O8-Q8</f>
        <v>-287453.13975735568</v>
      </c>
      <c r="T8" s="26"/>
      <c r="U8" s="498">
        <f>+'Miia '!O8+Mendrugo!O8+Arandovo!O8+Mica!O8+Andala!O8-O8</f>
        <v>0</v>
      </c>
    </row>
    <row r="9" spans="1:21" ht="15.75" customHeight="1" x14ac:dyDescent="0.25">
      <c r="A9" s="28"/>
      <c r="B9" s="185" t="s">
        <v>17</v>
      </c>
      <c r="C9" s="30" t="str">
        <f>IFERROR((C8/B8)-1,"na")</f>
        <v>na</v>
      </c>
      <c r="D9" s="30">
        <f>IFERROR((D8/C8)-1,"na")</f>
        <v>-0.18089732308936868</v>
      </c>
      <c r="E9" s="30">
        <f>IFERROR((E8/D8)-1,"na")</f>
        <v>0.85283032936834569</v>
      </c>
      <c r="F9" s="30">
        <f t="shared" ref="F9:N9" si="0">IFERROR((F8/E8)-1,"na")</f>
        <v>-1.171553344438836E-2</v>
      </c>
      <c r="G9" s="30">
        <f t="shared" si="0"/>
        <v>0.22283651887224321</v>
      </c>
      <c r="H9" s="30">
        <f t="shared" si="0"/>
        <v>-0.10750677629487959</v>
      </c>
      <c r="I9" s="30">
        <f t="shared" si="0"/>
        <v>0.20263699802163071</v>
      </c>
      <c r="J9" s="30">
        <f t="shared" si="0"/>
        <v>8.4947797863236918E-2</v>
      </c>
      <c r="K9" s="30">
        <f t="shared" si="0"/>
        <v>0.38569691717476506</v>
      </c>
      <c r="L9" s="30">
        <f t="shared" si="0"/>
        <v>-9.5111763262923033E-2</v>
      </c>
      <c r="M9" s="30">
        <f t="shared" si="0"/>
        <v>-5.1389603018381358E-4</v>
      </c>
      <c r="N9" s="30">
        <f t="shared" si="0"/>
        <v>4.7790487677344506E-2</v>
      </c>
      <c r="O9" s="31"/>
      <c r="P9" s="24"/>
      <c r="Q9" s="31"/>
      <c r="R9" s="24"/>
      <c r="S9" s="32"/>
      <c r="T9" s="507"/>
      <c r="U9" s="502"/>
    </row>
    <row r="10" spans="1:21" ht="15.75" customHeight="1" x14ac:dyDescent="0.25">
      <c r="A10" s="35"/>
      <c r="B10" s="186" t="s">
        <v>18</v>
      </c>
      <c r="C10" s="140">
        <f>+'Miia '!C10+Mendrugo!C10+Arandovo!C10+Mica!C10+Andala!C10</f>
        <v>-60404.03</v>
      </c>
      <c r="D10" s="140">
        <f>+'Miia '!D10+Mendrugo!D10+Arandovo!D10+Mica!D10+Andala!D10</f>
        <v>-98185.600000000006</v>
      </c>
      <c r="E10" s="140">
        <f>+'Miia '!E10+Mendrugo!E10+Arandovo!E10+Mica!E10+Andala!E10</f>
        <v>-75510.48</v>
      </c>
      <c r="F10" s="140">
        <f>+'Miia '!F10+Mendrugo!F10+Arandovo!F10+Mica!F10+Andala!F10</f>
        <v>-83840.399999999994</v>
      </c>
      <c r="G10" s="140">
        <f>+'Miia '!G10+Mendrugo!G10+Arandovo!G10+Mica!G10+Andala!G10</f>
        <v>-97038.81</v>
      </c>
      <c r="H10" s="140">
        <f>+'Miia '!H10+Mendrugo!H10+Arandovo!H10+Mica!H10+Andala!H10</f>
        <v>-96162.650599999994</v>
      </c>
      <c r="I10" s="140">
        <f>+'Miia '!I10+Mendrugo!I10+Arandovo!I10+Mica!I10+Andala!I10</f>
        <v>-96355.25215</v>
      </c>
      <c r="J10" s="140">
        <f>+'Miia '!J10+Mendrugo!J10+Arandovo!J10+Mica!J10+Andala!J10</f>
        <v>-94025.525737499993</v>
      </c>
      <c r="K10" s="140">
        <f>+'Miia '!K10+Mendrugo!K10+Arandovo!K10+Mica!K10+Andala!K10</f>
        <v>-120138.77053750001</v>
      </c>
      <c r="L10" s="140">
        <f>+'Miia '!L10+Mendrugo!L10+Arandovo!L10+Mica!L10+Andala!L10</f>
        <v>-107750.803564375</v>
      </c>
      <c r="M10" s="140">
        <f>+'Miia '!M10+Mendrugo!M10+Arandovo!M10+Mica!M10+Andala!M10</f>
        <v>-106354.90472259375</v>
      </c>
      <c r="N10" s="140">
        <f>+'Miia '!N10+Mendrugo!N10+Arandovo!N10+Mica!N10+Andala!N10</f>
        <v>-110931.67637872344</v>
      </c>
      <c r="O10" s="140">
        <f>+SUM(C10:N10)</f>
        <v>-1146698.9036906923</v>
      </c>
      <c r="P10" s="38"/>
      <c r="Q10" s="140">
        <f>+'Miia '!Q10+Mendrugo!Q10+Arandovo!Q10+Mica!Q10+Andala!Q10</f>
        <v>-1236193.2201436891</v>
      </c>
      <c r="R10" s="24"/>
      <c r="S10" s="37">
        <f>+O10-Q10</f>
        <v>89494.316452996805</v>
      </c>
      <c r="T10" s="34"/>
      <c r="U10" s="502">
        <f>+'Miia '!O10+Mendrugo!O10+Arandovo!O10+Mica!O10+Andala!O10-O10</f>
        <v>0</v>
      </c>
    </row>
    <row r="11" spans="1:21" ht="15.75" customHeight="1" x14ac:dyDescent="0.25">
      <c r="A11" s="35"/>
      <c r="B11" s="187" t="s">
        <v>19</v>
      </c>
      <c r="C11" s="40">
        <f t="shared" ref="C11:O11" si="1">C8+C10</f>
        <v>74508.579999999987</v>
      </c>
      <c r="D11" s="40">
        <f t="shared" si="1"/>
        <v>12321.679999999993</v>
      </c>
      <c r="E11" s="40">
        <f t="shared" si="1"/>
        <v>129240.76</v>
      </c>
      <c r="F11" s="40">
        <f t="shared" si="1"/>
        <v>118512.07</v>
      </c>
      <c r="G11" s="40">
        <f t="shared" si="1"/>
        <v>150405.18000000002</v>
      </c>
      <c r="H11" s="40">
        <f t="shared" si="1"/>
        <v>124679.43372155761</v>
      </c>
      <c r="I11" s="40">
        <f t="shared" si="1"/>
        <v>169237.60917531786</v>
      </c>
      <c r="J11" s="40">
        <f t="shared" si="1"/>
        <v>194128.86428559967</v>
      </c>
      <c r="K11" s="40">
        <f t="shared" si="1"/>
        <v>279155.87938788405</v>
      </c>
      <c r="L11" s="40">
        <f t="shared" si="1"/>
        <v>253566.22814515422</v>
      </c>
      <c r="M11" s="40">
        <f t="shared" si="1"/>
        <v>254776.44759870213</v>
      </c>
      <c r="N11" s="40">
        <f t="shared" si="1"/>
        <v>267458.31938558607</v>
      </c>
      <c r="O11" s="40">
        <f t="shared" si="1"/>
        <v>2027991.051699802</v>
      </c>
      <c r="P11" s="24"/>
      <c r="Q11" s="40">
        <f>Q8+Q10</f>
        <v>2225949.8750041611</v>
      </c>
      <c r="R11" s="24"/>
      <c r="S11" s="40">
        <f>+O11-Q11</f>
        <v>-197958.8233043591</v>
      </c>
      <c r="T11" s="66"/>
      <c r="U11" s="502"/>
    </row>
    <row r="12" spans="1:21" ht="15.75" customHeight="1" x14ac:dyDescent="0.25">
      <c r="A12" s="28"/>
      <c r="B12" s="188" t="s">
        <v>20</v>
      </c>
      <c r="C12" s="172">
        <f t="shared" ref="C12:O12" si="2">IFERROR(C11/C8,"na")</f>
        <v>0.55227291207248896</v>
      </c>
      <c r="D12" s="42">
        <f t="shared" si="2"/>
        <v>0.11150107033672345</v>
      </c>
      <c r="E12" s="42">
        <f t="shared" si="2"/>
        <v>0.63120868034791877</v>
      </c>
      <c r="F12" s="42">
        <f t="shared" si="2"/>
        <v>0.58567147710131739</v>
      </c>
      <c r="G12" s="42">
        <f t="shared" si="2"/>
        <v>0.60783525192913357</v>
      </c>
      <c r="H12" s="42">
        <f t="shared" si="2"/>
        <v>0.56456374293233824</v>
      </c>
      <c r="I12" s="42">
        <f t="shared" si="2"/>
        <v>0.6372069201363928</v>
      </c>
      <c r="J12" s="42">
        <f t="shared" si="2"/>
        <v>0.67369740322206262</v>
      </c>
      <c r="K12" s="42">
        <f t="shared" si="2"/>
        <v>0.69912251376283086</v>
      </c>
      <c r="L12" s="42">
        <f t="shared" si="2"/>
        <v>0.70178321499386653</v>
      </c>
      <c r="M12" s="42">
        <f t="shared" si="2"/>
        <v>0.70549523313619533</v>
      </c>
      <c r="N12" s="42">
        <f t="shared" si="2"/>
        <v>0.70683242786413347</v>
      </c>
      <c r="O12" s="42">
        <f t="shared" si="2"/>
        <v>0.63879971908953059</v>
      </c>
      <c r="P12" s="24"/>
      <c r="Q12" s="42">
        <f>IFERROR(Q11/Q8,"na")</f>
        <v>0.64293988256112289</v>
      </c>
      <c r="R12" s="24"/>
      <c r="S12" s="42"/>
    </row>
    <row r="13" spans="1:21" ht="15.75" customHeight="1" x14ac:dyDescent="0.25">
      <c r="A13" s="18"/>
      <c r="B13" s="189" t="s">
        <v>21</v>
      </c>
      <c r="C13" s="44">
        <f>+'Miia '!C13+Mendrugo!C13+Arandovo!C13+Mica!C13+Andala!C13</f>
        <v>-119574.39333333333</v>
      </c>
      <c r="D13" s="44">
        <f>+'Miia '!D13+Mendrugo!D13+Arandovo!D13+Mica!D13+Andala!D13</f>
        <v>-150329.12333333332</v>
      </c>
      <c r="E13" s="44">
        <f>+'Miia '!E13+Mendrugo!E13+Arandovo!E13+Mica!E13+Andala!E13</f>
        <v>-179140.24333333335</v>
      </c>
      <c r="F13" s="44">
        <f>+'Miia '!F13+Mendrugo!F13+Arandovo!F13+Mica!F13+Andala!F13</f>
        <v>-196433.13</v>
      </c>
      <c r="G13" s="44">
        <f>+'Miia '!G13+Mendrugo!G13+Arandovo!G13+Mica!G13+Andala!G13</f>
        <v>-187833.2</v>
      </c>
      <c r="H13" s="44">
        <f>+'Miia '!H13+Mendrugo!H13+Arandovo!H13+Mica!H13+Andala!H13</f>
        <v>-170680.59667586579</v>
      </c>
      <c r="I13" s="44">
        <f>+'Miia '!I13+Mendrugo!I13+Arandovo!I13+Mica!I13+Andala!I13</f>
        <v>-175085.48176961578</v>
      </c>
      <c r="J13" s="44">
        <f>+'Miia '!J13+Mendrugo!J13+Arandovo!J13+Mica!J13+Andala!J13</f>
        <v>-173038.30389177488</v>
      </c>
      <c r="K13" s="44">
        <f>+'Miia '!K13+Mendrugo!K13+Arandovo!K13+Mica!K13+Andala!K13</f>
        <v>-175272.64520896238</v>
      </c>
      <c r="L13" s="44">
        <f>+'Miia '!L13+Mendrugo!L13+Arandovo!L13+Mica!L13+Andala!L13</f>
        <v>-180099.4456081551</v>
      </c>
      <c r="M13" s="44">
        <f>+'Miia '!M13+Mendrugo!M13+Arandovo!M13+Mica!M13+Andala!M13</f>
        <v>-178752.64602730743</v>
      </c>
      <c r="N13" s="44">
        <f>+'Miia '!N13+Mendrugo!N13+Arandovo!N13+Mica!N13+Andala!N13</f>
        <v>-177629.51786741739</v>
      </c>
      <c r="O13" s="44">
        <f>+SUM(C13:N13)</f>
        <v>-2063868.7270490988</v>
      </c>
      <c r="P13" s="24"/>
      <c r="Q13" s="44">
        <f>+'Miia '!Q13+Mendrugo!Q13+Arandovo!Q13+Mica!Q13+Andala!Q13</f>
        <v>-1988969.4784392491</v>
      </c>
      <c r="R13" s="24"/>
      <c r="S13" s="45">
        <f>+O13-Q13</f>
        <v>-74899.248609849717</v>
      </c>
      <c r="T13" s="46"/>
      <c r="U13" s="502">
        <f>+'Miia '!O13+Mendrugo!O13+Arandovo!O13+Mica!O13+Andala!O13-O13</f>
        <v>0</v>
      </c>
    </row>
    <row r="14" spans="1:21" ht="15.75" customHeight="1" x14ac:dyDescent="0.25">
      <c r="A14" s="47"/>
      <c r="B14" s="190" t="s">
        <v>22</v>
      </c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24"/>
      <c r="Q14" s="49"/>
      <c r="R14" s="24"/>
      <c r="S14" s="49"/>
      <c r="U14" s="502"/>
    </row>
    <row r="15" spans="1:21" ht="15.75" customHeight="1" x14ac:dyDescent="0.25">
      <c r="A15" s="50"/>
      <c r="B15" s="191" t="s">
        <v>23</v>
      </c>
      <c r="C15" s="52">
        <f>C8+C10+C13</f>
        <v>-45065.813333333339</v>
      </c>
      <c r="D15" s="52">
        <f t="shared" ref="D15:N15" si="3">D8+D10+D13</f>
        <v>-138007.44333333333</v>
      </c>
      <c r="E15" s="52">
        <f t="shared" si="3"/>
        <v>-49899.483333333352</v>
      </c>
      <c r="F15" s="52">
        <f t="shared" si="3"/>
        <v>-77921.06</v>
      </c>
      <c r="G15" s="52">
        <f t="shared" si="3"/>
        <v>-37428.01999999999</v>
      </c>
      <c r="H15" s="52">
        <f t="shared" si="3"/>
        <v>-46001.16295430818</v>
      </c>
      <c r="I15" s="52">
        <f t="shared" si="3"/>
        <v>-5847.8725942979218</v>
      </c>
      <c r="J15" s="52">
        <f t="shared" si="3"/>
        <v>21090.560393824795</v>
      </c>
      <c r="K15" s="52">
        <f t="shared" si="3"/>
        <v>103883.23417892167</v>
      </c>
      <c r="L15" s="52">
        <f t="shared" si="3"/>
        <v>73466.782536999119</v>
      </c>
      <c r="M15" s="52">
        <f t="shared" si="3"/>
        <v>76023.801571394695</v>
      </c>
      <c r="N15" s="52">
        <f t="shared" si="3"/>
        <v>89828.801518168679</v>
      </c>
      <c r="O15" s="52">
        <f>O8+O10+O13</f>
        <v>-35877.675349296769</v>
      </c>
      <c r="P15" s="24"/>
      <c r="Q15" s="52">
        <f>Q8+Q10+Q13</f>
        <v>236980.39656491205</v>
      </c>
      <c r="R15" s="24"/>
      <c r="S15" s="25">
        <f>+O15-Q15</f>
        <v>-272858.07191420882</v>
      </c>
      <c r="U15" s="502">
        <f>+'Miia '!O15+Mendrugo!O15+Arandovo!O15+Mica!O15+Andala!O15-O15</f>
        <v>-8.7311491370201111E-11</v>
      </c>
    </row>
    <row r="16" spans="1:21" ht="15.75" customHeight="1" x14ac:dyDescent="0.25">
      <c r="A16" s="50"/>
      <c r="B16" s="188" t="s">
        <v>20</v>
      </c>
      <c r="C16" s="172">
        <f t="shared" ref="C16:N16" si="4">IFERROR(C15/C8,"na")</f>
        <v>-0.33403707283799006</v>
      </c>
      <c r="D16" s="42">
        <f t="shared" si="4"/>
        <v>-1.2488538613323332</v>
      </c>
      <c r="E16" s="42">
        <f t="shared" si="4"/>
        <v>-0.24370784437414569</v>
      </c>
      <c r="F16" s="42">
        <f t="shared" si="4"/>
        <v>-0.3850759024587147</v>
      </c>
      <c r="G16" s="42">
        <f t="shared" si="4"/>
        <v>-0.15125855350133979</v>
      </c>
      <c r="H16" s="42">
        <f t="shared" si="4"/>
        <v>-0.20829889871591722</v>
      </c>
      <c r="I16" s="42">
        <f t="shared" si="4"/>
        <v>-2.2018184393649845E-2</v>
      </c>
      <c r="J16" s="42">
        <f t="shared" si="4"/>
        <v>7.3191876036086373E-2</v>
      </c>
      <c r="K16" s="42">
        <f t="shared" si="4"/>
        <v>0.26016685722769956</v>
      </c>
      <c r="L16" s="42">
        <f t="shared" si="4"/>
        <v>0.2033305271810732</v>
      </c>
      <c r="M16" s="42">
        <f t="shared" si="4"/>
        <v>0.21051565055962487</v>
      </c>
      <c r="N16" s="42">
        <f t="shared" si="4"/>
        <v>0.23739740089249342</v>
      </c>
      <c r="O16" s="42">
        <f>IFERROR(O15/$O$8,"na")</f>
        <v>-1.1301158807138926E-2</v>
      </c>
      <c r="P16" s="24"/>
      <c r="Q16" s="42">
        <f>IFERROR(Q15/Q8,"na")</f>
        <v>6.8449047324773235E-2</v>
      </c>
      <c r="R16" s="24"/>
      <c r="S16" s="42"/>
      <c r="U16" s="506"/>
    </row>
    <row r="17" spans="1:21" ht="15.75" customHeight="1" x14ac:dyDescent="0.25">
      <c r="A17" s="50"/>
      <c r="B17" s="192" t="s">
        <v>24</v>
      </c>
      <c r="C17" s="54">
        <f>+C19+C20</f>
        <v>-88738.92</v>
      </c>
      <c r="D17" s="54">
        <f t="shared" ref="D17:N17" si="5">+D19+D20</f>
        <v>-117184.75</v>
      </c>
      <c r="E17" s="54">
        <f t="shared" si="5"/>
        <v>-91212.24</v>
      </c>
      <c r="F17" s="54">
        <f t="shared" si="5"/>
        <v>-101683.4</v>
      </c>
      <c r="G17" s="54">
        <f t="shared" si="5"/>
        <v>-153155.62</v>
      </c>
      <c r="H17" s="54">
        <f t="shared" si="5"/>
        <v>-174384.64666666667</v>
      </c>
      <c r="I17" s="54">
        <f t="shared" si="5"/>
        <v>-123044.64666666667</v>
      </c>
      <c r="J17" s="54">
        <f t="shared" si="5"/>
        <v>-104181.59666666668</v>
      </c>
      <c r="K17" s="54">
        <f t="shared" si="5"/>
        <v>-798568.66666666674</v>
      </c>
      <c r="L17" s="54">
        <f t="shared" si="5"/>
        <v>-154288.64666666667</v>
      </c>
      <c r="M17" s="54">
        <f t="shared" si="5"/>
        <v>-117524.64666666667</v>
      </c>
      <c r="N17" s="54">
        <f t="shared" si="5"/>
        <v>-157083.64666666667</v>
      </c>
      <c r="O17" s="54">
        <f>+O19+O20</f>
        <v>-2181051.4266666668</v>
      </c>
      <c r="P17" s="24"/>
      <c r="Q17" s="55">
        <f>+Q19+Q20</f>
        <v>-2276380.2772000004</v>
      </c>
      <c r="R17" s="24"/>
      <c r="S17" s="56">
        <f>+O17-Q17</f>
        <v>95328.850533333607</v>
      </c>
      <c r="U17" s="502">
        <f>+'Miia '!O17+Mendrugo!O17+Arandovo!O17+Mica!O17+Andala!O17-O17</f>
        <v>0</v>
      </c>
    </row>
    <row r="18" spans="1:21" ht="15.75" customHeight="1" x14ac:dyDescent="0.25">
      <c r="A18" s="57"/>
      <c r="B18" s="193" t="s">
        <v>20</v>
      </c>
      <c r="C18" s="173">
        <f t="shared" ref="C18:N18" si="6">IFERROR(C17/C8,"na")</f>
        <v>-0.65775111755676519</v>
      </c>
      <c r="D18" s="59">
        <f t="shared" si="6"/>
        <v>-1.0604256117786992</v>
      </c>
      <c r="E18" s="59">
        <f t="shared" si="6"/>
        <v>-0.44547832775029839</v>
      </c>
      <c r="F18" s="59">
        <f t="shared" si="6"/>
        <v>-0.50250634449878473</v>
      </c>
      <c r="G18" s="59">
        <f t="shared" si="6"/>
        <v>-0.61895065626770718</v>
      </c>
      <c r="H18" s="59">
        <f t="shared" si="6"/>
        <v>-0.78963503356884424</v>
      </c>
      <c r="I18" s="59">
        <f t="shared" si="6"/>
        <v>-0.46328295893447391</v>
      </c>
      <c r="J18" s="59">
        <f t="shared" si="6"/>
        <v>-0.36154783780429317</v>
      </c>
      <c r="K18" s="59">
        <f t="shared" si="6"/>
        <v>-1.9999483259189541</v>
      </c>
      <c r="L18" s="59">
        <f t="shared" si="6"/>
        <v>-0.42701736460268147</v>
      </c>
      <c r="M18" s="59">
        <f t="shared" si="6"/>
        <v>-0.32543462624121833</v>
      </c>
      <c r="N18" s="59">
        <f t="shared" si="6"/>
        <v>-0.41513689163312467</v>
      </c>
      <c r="O18" s="59">
        <f>IFERROR(O17/$O$8,"na")</f>
        <v>-0.68701241926422774</v>
      </c>
      <c r="P18" s="24"/>
      <c r="Q18" s="59">
        <f>IFERROR(Q17/$O$8,"na")</f>
        <v>-0.7170401863447482</v>
      </c>
      <c r="R18" s="24"/>
      <c r="S18" s="60"/>
      <c r="U18" s="503"/>
    </row>
    <row r="19" spans="1:21" ht="15.75" customHeight="1" x14ac:dyDescent="0.25">
      <c r="A19" s="57"/>
      <c r="B19" s="194" t="s">
        <v>25</v>
      </c>
      <c r="C19" s="62">
        <f>+'Miia '!C19+Mendrugo!C19+Arandovo!C19+Mica!C19+Andala!C19</f>
        <v>-30324</v>
      </c>
      <c r="D19" s="62">
        <f>+'Miia '!D19+Mendrugo!D19+Arandovo!D19+Mica!D19+Andala!D19</f>
        <v>-45258</v>
      </c>
      <c r="E19" s="62">
        <f>+'Miia '!E19+Mendrugo!E19+Arandovo!E19+Mica!E19+Andala!E19</f>
        <v>-39600</v>
      </c>
      <c r="F19" s="62">
        <f>+'Miia '!F19+Mendrugo!F19+Arandovo!F19+Mica!F19+Andala!F19</f>
        <v>-47553.2</v>
      </c>
      <c r="G19" s="62">
        <f>+'Miia '!G19+Mendrugo!G19+Arandovo!G19+Mica!G19+Andala!G19</f>
        <v>-100136.6</v>
      </c>
      <c r="H19" s="62">
        <f>+'Miia '!H19+Mendrugo!H19+Arandovo!H19+Mica!H19+Andala!H19</f>
        <v>-130006.15</v>
      </c>
      <c r="I19" s="62">
        <f>+'Miia '!I19+Mendrugo!I19+Arandovo!I19+Mica!I19+Andala!I19</f>
        <v>-79103.149999999994</v>
      </c>
      <c r="J19" s="62">
        <f>+'Miia '!J19+Mendrugo!J19+Arandovo!J19+Mica!J19+Andala!J19</f>
        <v>-55563.1</v>
      </c>
      <c r="K19" s="62">
        <f>+'Miia '!K19+Mendrugo!K19+Arandovo!K19+Mica!K19+Andala!K19</f>
        <v>-754499.17</v>
      </c>
      <c r="L19" s="62">
        <f>+'Miia '!L19+Mendrugo!L19+Arandovo!L19+Mica!L19+Andala!L19</f>
        <v>-108703.15</v>
      </c>
      <c r="M19" s="62">
        <f>+'Miia '!M19+Mendrugo!M19+Arandovo!M19+Mica!M19+Andala!M19</f>
        <v>-72603.149999999994</v>
      </c>
      <c r="N19" s="62">
        <f>+'Miia '!N19+Mendrugo!N19+Arandovo!N19+Mica!N19+Andala!N19</f>
        <v>-110933.15</v>
      </c>
      <c r="O19" s="63">
        <f>+SUM(C19:N19)</f>
        <v>-1574282.8199999998</v>
      </c>
      <c r="P19" s="24"/>
      <c r="Q19" s="62">
        <f>+'Miia '!Q19+Mendrugo!Q19+Arandovo!Q19+Mica!Q19+Andala!Q19</f>
        <v>-1762942.1891735615</v>
      </c>
      <c r="R19" s="24"/>
      <c r="S19" s="62">
        <f>+O19-Q19</f>
        <v>188659.36917356169</v>
      </c>
      <c r="U19" s="502">
        <f>+'Miia '!O19+Mendrugo!O19+Arandovo!O19+Mica!O19+Andala!O19-O19</f>
        <v>0</v>
      </c>
    </row>
    <row r="20" spans="1:21" ht="15.75" customHeight="1" x14ac:dyDescent="0.25">
      <c r="A20" s="64"/>
      <c r="B20" s="194" t="s">
        <v>26</v>
      </c>
      <c r="C20" s="63">
        <f>+'Miia '!C20+Mendrugo!C20+Arandovo!C20+Mica!C20+Andala!C20</f>
        <v>-58414.92</v>
      </c>
      <c r="D20" s="63">
        <f>+'Miia '!D20+Mendrugo!D20+Arandovo!D20+Mica!D20+Andala!D20</f>
        <v>-71926.75</v>
      </c>
      <c r="E20" s="63">
        <f>+'Miia '!E20+Mendrugo!E20+Arandovo!E20+Mica!E20+Andala!E20</f>
        <v>-51612.240000000005</v>
      </c>
      <c r="F20" s="63">
        <f>+'Miia '!F20+Mendrugo!F20+Arandovo!F20+Mica!F20+Andala!F20</f>
        <v>-54130.2</v>
      </c>
      <c r="G20" s="63">
        <f>+'Miia '!G20+Mendrugo!G20+Arandovo!G20+Mica!G20+Andala!G20</f>
        <v>-53019.020000000004</v>
      </c>
      <c r="H20" s="63">
        <f>+'Miia '!H20+Mendrugo!H20+Arandovo!H20+Mica!H20+Andala!H20</f>
        <v>-44378.496666666673</v>
      </c>
      <c r="I20" s="63">
        <f>+'Miia '!I20+Mendrugo!I20+Arandovo!I20+Mica!I20+Andala!I20</f>
        <v>-43941.496666666673</v>
      </c>
      <c r="J20" s="63">
        <f>+'Miia '!J20+Mendrugo!J20+Arandovo!J20+Mica!J20+Andala!J20</f>
        <v>-48618.496666666673</v>
      </c>
      <c r="K20" s="63">
        <f>+'Miia '!K20+Mendrugo!K20+Arandovo!K20+Mica!K20+Andala!K20</f>
        <v>-44069.496666666673</v>
      </c>
      <c r="L20" s="63">
        <f>+'Miia '!L20+Mendrugo!L20+Arandovo!L20+Mica!L20+Andala!L20</f>
        <v>-45585.496666666673</v>
      </c>
      <c r="M20" s="63">
        <f>+'Miia '!M20+Mendrugo!M20+Arandovo!M20+Mica!M20+Andala!M20</f>
        <v>-44921.496666666673</v>
      </c>
      <c r="N20" s="63">
        <f>+'Miia '!N20+Mendrugo!N20+Arandovo!N20+Mica!N20+Andala!N20</f>
        <v>-46150.496666666673</v>
      </c>
      <c r="O20" s="63">
        <f>+SUM(C20:N20)</f>
        <v>-606768.60666666692</v>
      </c>
      <c r="P20" s="24"/>
      <c r="Q20" s="65">
        <f>+'Miia '!Q20+Mendrugo!Q20+Arandovo!Q20+Mica!Q20+Andala!Q20</f>
        <v>-513438.08802643861</v>
      </c>
      <c r="R20" s="24"/>
      <c r="S20" s="62">
        <f>+O20-Q20</f>
        <v>-93330.518640228314</v>
      </c>
      <c r="U20" s="502">
        <f>+'Miia '!O20+Mendrugo!O20+Arandovo!O20+Mica!O20+Andala!O20-O20</f>
        <v>0</v>
      </c>
    </row>
    <row r="21" spans="1:21" ht="15.75" customHeight="1" x14ac:dyDescent="0.25">
      <c r="A21" s="50"/>
      <c r="B21" s="191" t="s">
        <v>27</v>
      </c>
      <c r="C21" s="52">
        <f t="shared" ref="C21:N21" si="7">C15+C17</f>
        <v>-133804.73333333334</v>
      </c>
      <c r="D21" s="52">
        <f t="shared" si="7"/>
        <v>-255192.19333333333</v>
      </c>
      <c r="E21" s="52">
        <f t="shared" si="7"/>
        <v>-141111.72333333336</v>
      </c>
      <c r="F21" s="52">
        <f t="shared" si="7"/>
        <v>-179604.46</v>
      </c>
      <c r="G21" s="52">
        <f t="shared" si="7"/>
        <v>-190583.63999999998</v>
      </c>
      <c r="H21" s="52">
        <f t="shared" si="7"/>
        <v>-220385.80962097485</v>
      </c>
      <c r="I21" s="52">
        <f t="shared" si="7"/>
        <v>-128892.51926096459</v>
      </c>
      <c r="J21" s="52">
        <f t="shared" si="7"/>
        <v>-83091.036272841884</v>
      </c>
      <c r="K21" s="52">
        <f t="shared" si="7"/>
        <v>-694685.43248774507</v>
      </c>
      <c r="L21" s="52">
        <f t="shared" si="7"/>
        <v>-80821.864129667549</v>
      </c>
      <c r="M21" s="52">
        <f t="shared" si="7"/>
        <v>-41500.845095271972</v>
      </c>
      <c r="N21" s="52">
        <f t="shared" si="7"/>
        <v>-67254.845148497989</v>
      </c>
      <c r="O21" s="52">
        <f>O15+O17</f>
        <v>-2216929.1020159638</v>
      </c>
      <c r="P21" s="24"/>
      <c r="Q21" s="52">
        <f>Q15+Q17</f>
        <v>-2039399.8806350883</v>
      </c>
      <c r="R21" s="24"/>
      <c r="S21" s="25">
        <f>+O21-Q21</f>
        <v>-177529.22138087545</v>
      </c>
      <c r="T21" s="66"/>
      <c r="U21" s="502">
        <f>+'Miia '!O21+Mendrugo!O21+Arandovo!O21+Mica!O21+Andala!O21-O21</f>
        <v>0</v>
      </c>
    </row>
    <row r="22" spans="1:21" ht="15.75" customHeight="1" x14ac:dyDescent="0.25">
      <c r="A22" s="50"/>
      <c r="B22" s="193" t="s">
        <v>20</v>
      </c>
      <c r="C22" s="174">
        <f t="shared" ref="C22:O22" si="8">IFERROR(C21/C8,"na")</f>
        <v>-0.99178819039475519</v>
      </c>
      <c r="D22" s="67">
        <f t="shared" si="8"/>
        <v>-2.3092794731110322</v>
      </c>
      <c r="E22" s="67">
        <f t="shared" si="8"/>
        <v>-0.68918617212444411</v>
      </c>
      <c r="F22" s="67">
        <f t="shared" si="8"/>
        <v>-0.88758224695749943</v>
      </c>
      <c r="G22" s="67">
        <f t="shared" si="8"/>
        <v>-0.77020920976904705</v>
      </c>
      <c r="H22" s="67">
        <f t="shared" si="8"/>
        <v>-0.99793393228476146</v>
      </c>
      <c r="I22" s="67">
        <f t="shared" si="8"/>
        <v>-0.48530114332812374</v>
      </c>
      <c r="J22" s="67">
        <f t="shared" si="8"/>
        <v>-0.28835596176820683</v>
      </c>
      <c r="K22" s="67">
        <f t="shared" si="8"/>
        <v>-1.7397814686912545</v>
      </c>
      <c r="L22" s="67">
        <f t="shared" si="8"/>
        <v>-0.22368683742160828</v>
      </c>
      <c r="M22" s="67">
        <f t="shared" si="8"/>
        <v>-0.1149189756815935</v>
      </c>
      <c r="N22" s="67">
        <f t="shared" si="8"/>
        <v>-0.17773949074063125</v>
      </c>
      <c r="O22" s="67">
        <f t="shared" si="8"/>
        <v>-0.69831357807136674</v>
      </c>
      <c r="Q22" s="67">
        <f>IFERROR(Q21/Q8,"na")</f>
        <v>-0.58905707377990291</v>
      </c>
      <c r="S22" s="58"/>
    </row>
    <row r="23" spans="1:21" ht="15.75" customHeight="1" x14ac:dyDescent="0.25">
      <c r="A23" s="68"/>
      <c r="B23" s="195" t="s">
        <v>28</v>
      </c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Q23" s="70"/>
      <c r="S23" s="70">
        <f>+O23-Q23</f>
        <v>0</v>
      </c>
    </row>
    <row r="24" spans="1:21" ht="15.75" customHeight="1" x14ac:dyDescent="0.25">
      <c r="A24" s="71"/>
      <c r="B24" s="196" t="s">
        <v>29</v>
      </c>
      <c r="C24" s="76">
        <f t="shared" ref="C24:O24" si="9">C21+C23</f>
        <v>-133804.73333333334</v>
      </c>
      <c r="D24" s="73">
        <f t="shared" si="9"/>
        <v>-255192.19333333333</v>
      </c>
      <c r="E24" s="73">
        <f t="shared" si="9"/>
        <v>-141111.72333333336</v>
      </c>
      <c r="F24" s="73">
        <f t="shared" si="9"/>
        <v>-179604.46</v>
      </c>
      <c r="G24" s="73">
        <f t="shared" si="9"/>
        <v>-190583.63999999998</v>
      </c>
      <c r="H24" s="73">
        <f t="shared" si="9"/>
        <v>-220385.80962097485</v>
      </c>
      <c r="I24" s="73">
        <f t="shared" si="9"/>
        <v>-128892.51926096459</v>
      </c>
      <c r="J24" s="73">
        <f t="shared" si="9"/>
        <v>-83091.036272841884</v>
      </c>
      <c r="K24" s="73">
        <f t="shared" si="9"/>
        <v>-694685.43248774507</v>
      </c>
      <c r="L24" s="73">
        <f t="shared" si="9"/>
        <v>-80821.864129667549</v>
      </c>
      <c r="M24" s="73">
        <f t="shared" si="9"/>
        <v>-41500.845095271972</v>
      </c>
      <c r="N24" s="73">
        <f t="shared" si="9"/>
        <v>-67254.845148497989</v>
      </c>
      <c r="O24" s="73">
        <f t="shared" si="9"/>
        <v>-2216929.1020159638</v>
      </c>
      <c r="Q24" s="73"/>
      <c r="S24" s="73">
        <f>+O24-Q24</f>
        <v>-2216929.1020159638</v>
      </c>
    </row>
    <row r="25" spans="1:21" ht="15.75" customHeight="1" x14ac:dyDescent="0.25">
      <c r="A25" s="68"/>
      <c r="B25" s="197" t="s">
        <v>20</v>
      </c>
      <c r="C25" s="175">
        <f t="shared" ref="C25:O25" si="10">IFERROR(C24/C8,"na")</f>
        <v>-0.99178819039475519</v>
      </c>
      <c r="D25" s="75">
        <f t="shared" si="10"/>
        <v>-2.3092794731110322</v>
      </c>
      <c r="E25" s="75">
        <f t="shared" si="10"/>
        <v>-0.68918617212444411</v>
      </c>
      <c r="F25" s="75">
        <f t="shared" si="10"/>
        <v>-0.88758224695749943</v>
      </c>
      <c r="G25" s="75">
        <f t="shared" si="10"/>
        <v>-0.77020920976904705</v>
      </c>
      <c r="H25" s="75">
        <f t="shared" si="10"/>
        <v>-0.99793393228476146</v>
      </c>
      <c r="I25" s="75">
        <f t="shared" si="10"/>
        <v>-0.48530114332812374</v>
      </c>
      <c r="J25" s="75">
        <f t="shared" si="10"/>
        <v>-0.28835596176820683</v>
      </c>
      <c r="K25" s="75">
        <f t="shared" si="10"/>
        <v>-1.7397814686912545</v>
      </c>
      <c r="L25" s="75">
        <f t="shared" si="10"/>
        <v>-0.22368683742160828</v>
      </c>
      <c r="M25" s="75">
        <f t="shared" si="10"/>
        <v>-0.1149189756815935</v>
      </c>
      <c r="N25" s="75">
        <f t="shared" si="10"/>
        <v>-0.17773949074063125</v>
      </c>
      <c r="O25" s="75">
        <f t="shared" si="10"/>
        <v>-0.69831357807136674</v>
      </c>
      <c r="Q25" s="75">
        <v>-0.60977488656199375</v>
      </c>
      <c r="S25" s="75"/>
    </row>
    <row r="26" spans="1:21" ht="15.75" customHeight="1" x14ac:dyDescent="0.25">
      <c r="A26" s="68"/>
      <c r="B26" s="194" t="s">
        <v>30</v>
      </c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Q26" s="76"/>
      <c r="S26" s="77">
        <f>+O26-Q26</f>
        <v>0</v>
      </c>
    </row>
    <row r="27" spans="1:21" ht="15.75" customHeight="1" x14ac:dyDescent="0.25">
      <c r="A27" s="68"/>
      <c r="B27" s="194" t="s">
        <v>31</v>
      </c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9"/>
      <c r="N27" s="79"/>
      <c r="O27" s="80"/>
      <c r="Q27" s="80"/>
      <c r="S27" s="81">
        <f>+O27-Q27</f>
        <v>0</v>
      </c>
    </row>
    <row r="28" spans="1:21" ht="15.75" customHeight="1" x14ac:dyDescent="0.25">
      <c r="A28" s="68"/>
      <c r="B28" s="191" t="s">
        <v>32</v>
      </c>
      <c r="C28" s="52">
        <f t="shared" ref="C28:N28" si="11">C26+C27</f>
        <v>0</v>
      </c>
      <c r="D28" s="52">
        <f t="shared" si="11"/>
        <v>0</v>
      </c>
      <c r="E28" s="52">
        <f t="shared" si="11"/>
        <v>0</v>
      </c>
      <c r="F28" s="52">
        <f t="shared" si="11"/>
        <v>0</v>
      </c>
      <c r="G28" s="52">
        <f t="shared" si="11"/>
        <v>0</v>
      </c>
      <c r="H28" s="52">
        <f t="shared" si="11"/>
        <v>0</v>
      </c>
      <c r="I28" s="52">
        <f t="shared" si="11"/>
        <v>0</v>
      </c>
      <c r="J28" s="52">
        <f t="shared" si="11"/>
        <v>0</v>
      </c>
      <c r="K28" s="52">
        <f t="shared" si="11"/>
        <v>0</v>
      </c>
      <c r="L28" s="52">
        <f t="shared" si="11"/>
        <v>0</v>
      </c>
      <c r="M28" s="52">
        <f t="shared" si="11"/>
        <v>0</v>
      </c>
      <c r="N28" s="52">
        <f t="shared" si="11"/>
        <v>0</v>
      </c>
      <c r="O28" s="52">
        <f>O26+O27</f>
        <v>0</v>
      </c>
      <c r="Q28" s="52"/>
      <c r="S28" s="52">
        <f>+O28-Q28</f>
        <v>0</v>
      </c>
    </row>
    <row r="29" spans="1:21" ht="15.75" customHeight="1" x14ac:dyDescent="0.25">
      <c r="A29" s="50"/>
      <c r="B29" s="198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4"/>
      <c r="N29" s="84"/>
      <c r="O29" s="84"/>
      <c r="Q29" s="84"/>
      <c r="S29" s="84"/>
    </row>
    <row r="30" spans="1:21" ht="15.75" customHeight="1" x14ac:dyDescent="0.25">
      <c r="A30" s="85"/>
      <c r="B30" s="198"/>
      <c r="C30" s="9" t="str">
        <f t="shared" ref="C30:N30" si="12">+C4</f>
        <v>ACTUAL</v>
      </c>
      <c r="D30" s="9" t="str">
        <f t="shared" si="12"/>
        <v>ACTUAL</v>
      </c>
      <c r="E30" s="9" t="str">
        <f t="shared" si="12"/>
        <v>ACTUAL</v>
      </c>
      <c r="F30" s="10" t="str">
        <f t="shared" si="12"/>
        <v>ACTUAL</v>
      </c>
      <c r="G30" s="10" t="str">
        <f t="shared" si="12"/>
        <v>ACTUAL</v>
      </c>
      <c r="H30" s="10" t="str">
        <f t="shared" si="12"/>
        <v xml:space="preserve">FORECAST </v>
      </c>
      <c r="I30" s="10" t="str">
        <f t="shared" si="12"/>
        <v xml:space="preserve">FORECAST </v>
      </c>
      <c r="J30" s="10" t="str">
        <f t="shared" si="12"/>
        <v xml:space="preserve">FORECAST </v>
      </c>
      <c r="K30" s="10" t="str">
        <f t="shared" si="12"/>
        <v xml:space="preserve">FORECAST </v>
      </c>
      <c r="L30" s="10" t="str">
        <f t="shared" si="12"/>
        <v xml:space="preserve">FORECAST </v>
      </c>
      <c r="M30" s="10" t="str">
        <f t="shared" si="12"/>
        <v xml:space="preserve">FORECAST </v>
      </c>
      <c r="N30" s="10" t="str">
        <f t="shared" si="12"/>
        <v xml:space="preserve">FORECAST </v>
      </c>
      <c r="O30" s="87"/>
      <c r="Q30" s="88" t="s">
        <v>1</v>
      </c>
      <c r="S30" s="87"/>
    </row>
    <row r="31" spans="1:21" ht="15.75" customHeight="1" x14ac:dyDescent="0.25">
      <c r="A31" s="85"/>
      <c r="B31" s="510" t="s">
        <v>33</v>
      </c>
      <c r="C31" s="13">
        <v>2026</v>
      </c>
      <c r="D31" s="13">
        <v>2026</v>
      </c>
      <c r="E31" s="13">
        <v>2026</v>
      </c>
      <c r="F31" s="13">
        <v>2026</v>
      </c>
      <c r="G31" s="13">
        <v>2026</v>
      </c>
      <c r="H31" s="13">
        <v>2026</v>
      </c>
      <c r="I31" s="13">
        <v>2026</v>
      </c>
      <c r="J31" s="13">
        <v>2026</v>
      </c>
      <c r="K31" s="13">
        <v>2026</v>
      </c>
      <c r="L31" s="13">
        <v>2026</v>
      </c>
      <c r="M31" s="13">
        <v>2026</v>
      </c>
      <c r="N31" s="89">
        <v>2026</v>
      </c>
      <c r="O31" s="90"/>
      <c r="Q31" s="91">
        <v>2026</v>
      </c>
    </row>
    <row r="32" spans="1:21" ht="15.75" customHeight="1" outlineLevel="2" x14ac:dyDescent="0.25">
      <c r="A32" s="68"/>
      <c r="B32" s="511"/>
      <c r="C32" s="176" t="s">
        <v>3</v>
      </c>
      <c r="D32" s="92" t="s">
        <v>4</v>
      </c>
      <c r="E32" s="92" t="s">
        <v>5</v>
      </c>
      <c r="F32" s="92" t="s">
        <v>6</v>
      </c>
      <c r="G32" s="92" t="s">
        <v>7</v>
      </c>
      <c r="H32" s="92" t="s">
        <v>8</v>
      </c>
      <c r="I32" s="92" t="s">
        <v>9</v>
      </c>
      <c r="J32" s="92" t="s">
        <v>10</v>
      </c>
      <c r="K32" s="92" t="s">
        <v>11</v>
      </c>
      <c r="L32" s="92" t="s">
        <v>12</v>
      </c>
      <c r="M32" s="92" t="s">
        <v>13</v>
      </c>
      <c r="N32" s="93" t="s">
        <v>14</v>
      </c>
      <c r="O32" s="94"/>
      <c r="Q32" s="88" t="s">
        <v>15</v>
      </c>
    </row>
    <row r="33" spans="1:21" ht="15.75" customHeight="1" outlineLevel="2" x14ac:dyDescent="0.25">
      <c r="A33" s="68"/>
      <c r="B33" s="199" t="s">
        <v>34</v>
      </c>
      <c r="C33" s="96">
        <f>+SUM(C34:C36)</f>
        <v>0</v>
      </c>
      <c r="D33" s="96">
        <f>+SUM(D34:D36)</f>
        <v>0</v>
      </c>
      <c r="E33" s="96">
        <f>+SUM(E34:E36)</f>
        <v>0</v>
      </c>
      <c r="F33" s="96">
        <f t="shared" ref="F33:N33" si="13">+F8</f>
        <v>202352.47</v>
      </c>
      <c r="G33" s="96">
        <f t="shared" si="13"/>
        <v>247443.99000000002</v>
      </c>
      <c r="H33" s="96">
        <f t="shared" si="13"/>
        <v>220842.0843215576</v>
      </c>
      <c r="I33" s="96">
        <f t="shared" si="13"/>
        <v>265592.86132531788</v>
      </c>
      <c r="J33" s="96">
        <f t="shared" si="13"/>
        <v>288154.39002309967</v>
      </c>
      <c r="K33" s="96">
        <f t="shared" si="13"/>
        <v>399294.64992538409</v>
      </c>
      <c r="L33" s="96">
        <f t="shared" si="13"/>
        <v>361317.03170952923</v>
      </c>
      <c r="M33" s="96">
        <f t="shared" si="13"/>
        <v>361131.35232129588</v>
      </c>
      <c r="N33" s="96">
        <f t="shared" si="13"/>
        <v>378389.99576430954</v>
      </c>
      <c r="O33" s="97"/>
      <c r="Q33" s="98"/>
    </row>
    <row r="34" spans="1:21" ht="15.75" customHeight="1" outlineLevel="2" x14ac:dyDescent="0.25">
      <c r="A34" s="68"/>
      <c r="B34" s="200" t="s">
        <v>35</v>
      </c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97"/>
      <c r="Q34" s="101"/>
    </row>
    <row r="35" spans="1:21" ht="15.75" customHeight="1" outlineLevel="2" x14ac:dyDescent="0.25">
      <c r="A35" s="68"/>
      <c r="B35" s="200" t="s">
        <v>36</v>
      </c>
      <c r="C35" s="177"/>
      <c r="D35" s="102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97"/>
      <c r="Q35" s="103"/>
    </row>
    <row r="36" spans="1:21" ht="15.75" customHeight="1" outlineLevel="2" x14ac:dyDescent="0.25">
      <c r="A36" s="68"/>
      <c r="B36" s="201" t="s">
        <v>37</v>
      </c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5"/>
      <c r="N36" s="105"/>
      <c r="O36" s="97"/>
      <c r="Q36" s="101"/>
    </row>
    <row r="37" spans="1:21" ht="15.75" customHeight="1" outlineLevel="2" x14ac:dyDescent="0.25">
      <c r="A37" s="68"/>
      <c r="B37" s="202" t="s">
        <v>38</v>
      </c>
      <c r="C37" s="178">
        <f t="shared" ref="C37:N37" si="14">+SUM(C38:C41)</f>
        <v>0</v>
      </c>
      <c r="D37" s="107">
        <f t="shared" si="14"/>
        <v>0</v>
      </c>
      <c r="E37" s="107">
        <f t="shared" si="14"/>
        <v>0</v>
      </c>
      <c r="F37" s="107">
        <f t="shared" si="14"/>
        <v>0</v>
      </c>
      <c r="G37" s="107">
        <f t="shared" si="14"/>
        <v>0</v>
      </c>
      <c r="H37" s="107">
        <f t="shared" si="14"/>
        <v>0</v>
      </c>
      <c r="I37" s="107">
        <f t="shared" si="14"/>
        <v>0</v>
      </c>
      <c r="J37" s="107">
        <f t="shared" si="14"/>
        <v>0</v>
      </c>
      <c r="K37" s="107">
        <f t="shared" si="14"/>
        <v>0</v>
      </c>
      <c r="L37" s="107">
        <f t="shared" si="14"/>
        <v>0</v>
      </c>
      <c r="M37" s="107">
        <f t="shared" si="14"/>
        <v>0</v>
      </c>
      <c r="N37" s="108">
        <f t="shared" si="14"/>
        <v>0</v>
      </c>
      <c r="O37" s="97"/>
      <c r="Q37" s="98"/>
    </row>
    <row r="38" spans="1:21" ht="15.75" customHeight="1" outlineLevel="2" x14ac:dyDescent="0.25">
      <c r="A38" s="68"/>
      <c r="B38" s="203" t="s">
        <v>39</v>
      </c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110"/>
      <c r="Q38" s="111"/>
    </row>
    <row r="39" spans="1:21" ht="15.75" customHeight="1" outlineLevel="2" x14ac:dyDescent="0.25">
      <c r="A39" s="68"/>
      <c r="B39" s="203" t="s">
        <v>40</v>
      </c>
      <c r="C39" s="80"/>
      <c r="D39" s="110"/>
      <c r="E39" s="110"/>
      <c r="F39" s="80"/>
      <c r="G39" s="80"/>
      <c r="H39" s="80"/>
      <c r="I39" s="80"/>
      <c r="J39" s="80"/>
      <c r="K39" s="80"/>
      <c r="L39" s="80"/>
      <c r="M39" s="80"/>
      <c r="N39" s="80"/>
      <c r="O39" s="110"/>
      <c r="Q39" s="111"/>
    </row>
    <row r="40" spans="1:21" ht="15.75" customHeight="1" x14ac:dyDescent="0.25">
      <c r="A40" s="85"/>
      <c r="B40" s="203" t="s">
        <v>41</v>
      </c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110"/>
      <c r="Q40" s="111"/>
    </row>
    <row r="41" spans="1:21" ht="15.75" customHeight="1" x14ac:dyDescent="0.25">
      <c r="A41" s="50"/>
      <c r="B41" s="204" t="s">
        <v>42</v>
      </c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110"/>
      <c r="Q41" s="111"/>
    </row>
    <row r="42" spans="1:21" ht="15.75" customHeight="1" x14ac:dyDescent="0.25">
      <c r="A42" s="85"/>
      <c r="B42" s="205" t="s">
        <v>43</v>
      </c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Q42" s="114"/>
    </row>
    <row r="43" spans="1:21" ht="15.75" customHeight="1" x14ac:dyDescent="0.25">
      <c r="A43" s="85"/>
      <c r="B43" s="202" t="s">
        <v>44</v>
      </c>
      <c r="C43" s="179">
        <f t="shared" ref="C43:N43" si="15">+C37+C42</f>
        <v>0</v>
      </c>
      <c r="D43" s="117">
        <f t="shared" si="15"/>
        <v>0</v>
      </c>
      <c r="E43" s="117">
        <f t="shared" si="15"/>
        <v>0</v>
      </c>
      <c r="F43" s="117">
        <f t="shared" si="15"/>
        <v>0</v>
      </c>
      <c r="G43" s="117">
        <f t="shared" si="15"/>
        <v>0</v>
      </c>
      <c r="H43" s="117">
        <f t="shared" si="15"/>
        <v>0</v>
      </c>
      <c r="I43" s="117">
        <f t="shared" si="15"/>
        <v>0</v>
      </c>
      <c r="J43" s="117">
        <f t="shared" si="15"/>
        <v>0</v>
      </c>
      <c r="K43" s="117">
        <f t="shared" si="15"/>
        <v>0</v>
      </c>
      <c r="L43" s="117">
        <f t="shared" si="15"/>
        <v>0</v>
      </c>
      <c r="M43" s="117">
        <f t="shared" si="15"/>
        <v>0</v>
      </c>
      <c r="N43" s="118">
        <f t="shared" si="15"/>
        <v>0</v>
      </c>
      <c r="O43" s="97"/>
      <c r="Q43" s="119">
        <f>+Q37+Q42</f>
        <v>0</v>
      </c>
    </row>
    <row r="44" spans="1:21" s="127" customFormat="1" ht="15.75" customHeight="1" x14ac:dyDescent="0.25">
      <c r="A44" s="71"/>
      <c r="B44" s="206" t="s">
        <v>45</v>
      </c>
      <c r="C44" s="121"/>
      <c r="D44" s="122"/>
      <c r="E44" s="122"/>
      <c r="F44" s="122"/>
      <c r="G44" s="122"/>
      <c r="H44" s="122"/>
      <c r="I44" s="122"/>
      <c r="J44" s="122"/>
      <c r="K44" s="122"/>
      <c r="L44" s="122"/>
      <c r="M44" s="123"/>
      <c r="N44" s="123"/>
      <c r="O44" s="124"/>
      <c r="P44" s="125"/>
      <c r="Q44" s="126"/>
      <c r="R44" s="125"/>
      <c r="S44" s="5"/>
      <c r="T44" s="5"/>
      <c r="U44" s="500"/>
    </row>
    <row r="45" spans="1:21" ht="15" customHeight="1" x14ac:dyDescent="0.25">
      <c r="B45" s="207" t="s">
        <v>46</v>
      </c>
      <c r="C45" s="180">
        <f t="shared" ref="C45:N45" si="16">C33+C43+C44</f>
        <v>0</v>
      </c>
      <c r="D45" s="107">
        <f t="shared" si="16"/>
        <v>0</v>
      </c>
      <c r="E45" s="107">
        <f t="shared" si="16"/>
        <v>0</v>
      </c>
      <c r="F45" s="107">
        <f t="shared" si="16"/>
        <v>202352.47</v>
      </c>
      <c r="G45" s="107">
        <f t="shared" si="16"/>
        <v>247443.99000000002</v>
      </c>
      <c r="H45" s="107">
        <f t="shared" si="16"/>
        <v>220842.0843215576</v>
      </c>
      <c r="I45" s="107">
        <f t="shared" si="16"/>
        <v>265592.86132531788</v>
      </c>
      <c r="J45" s="107">
        <f t="shared" si="16"/>
        <v>288154.39002309967</v>
      </c>
      <c r="K45" s="107">
        <f t="shared" si="16"/>
        <v>399294.64992538409</v>
      </c>
      <c r="L45" s="107">
        <f t="shared" si="16"/>
        <v>361317.03170952923</v>
      </c>
      <c r="M45" s="107">
        <f t="shared" si="16"/>
        <v>361131.35232129588</v>
      </c>
      <c r="N45" s="108">
        <f t="shared" si="16"/>
        <v>378389.99576430954</v>
      </c>
      <c r="O45" s="97"/>
      <c r="Q45" s="130">
        <f>Q33+Q43+Q44</f>
        <v>0</v>
      </c>
    </row>
    <row r="46" spans="1:21" s="34" customFormat="1" ht="15" customHeight="1" x14ac:dyDescent="0.25">
      <c r="B46" s="208"/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132"/>
      <c r="Q46" s="97"/>
      <c r="R46" s="132"/>
      <c r="U46" s="499"/>
    </row>
    <row r="47" spans="1:21" s="34" customFormat="1" ht="15" customHeight="1" x14ac:dyDescent="0.25">
      <c r="B47" s="208"/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132"/>
      <c r="Q47" s="97"/>
      <c r="R47" s="132"/>
      <c r="U47" s="499"/>
    </row>
    <row r="48" spans="1:21" s="34" customFormat="1" ht="19.5" customHeight="1" x14ac:dyDescent="0.25">
      <c r="B48" s="209"/>
      <c r="C48" s="9" t="str">
        <f>+C4</f>
        <v>ACTUAL</v>
      </c>
      <c r="D48" s="9" t="str">
        <f t="shared" ref="D48:N48" si="17">+D4</f>
        <v>ACTUAL</v>
      </c>
      <c r="E48" s="9" t="str">
        <f t="shared" si="17"/>
        <v>ACTUAL</v>
      </c>
      <c r="F48" s="10" t="str">
        <f t="shared" si="17"/>
        <v>ACTUAL</v>
      </c>
      <c r="G48" s="10" t="str">
        <f t="shared" si="17"/>
        <v>ACTUAL</v>
      </c>
      <c r="H48" s="10" t="str">
        <f t="shared" si="17"/>
        <v xml:space="preserve">FORECAST </v>
      </c>
      <c r="I48" s="10" t="str">
        <f t="shared" si="17"/>
        <v xml:space="preserve">FORECAST </v>
      </c>
      <c r="J48" s="10" t="str">
        <f t="shared" si="17"/>
        <v xml:space="preserve">FORECAST </v>
      </c>
      <c r="K48" s="10" t="str">
        <f t="shared" si="17"/>
        <v xml:space="preserve">FORECAST </v>
      </c>
      <c r="L48" s="10" t="str">
        <f t="shared" si="17"/>
        <v xml:space="preserve">FORECAST </v>
      </c>
      <c r="M48" s="10" t="str">
        <f t="shared" si="17"/>
        <v xml:space="preserve">FORECAST </v>
      </c>
      <c r="N48" s="10" t="str">
        <f t="shared" si="17"/>
        <v xml:space="preserve">FORECAST </v>
      </c>
      <c r="P48" s="132"/>
      <c r="R48" s="132"/>
      <c r="U48" s="499"/>
    </row>
    <row r="49" spans="1:21" ht="15.75" customHeight="1" x14ac:dyDescent="0.25">
      <c r="A49" s="85"/>
      <c r="B49" s="510" t="s">
        <v>55</v>
      </c>
      <c r="C49" s="13">
        <v>2026</v>
      </c>
      <c r="D49" s="13">
        <v>2026</v>
      </c>
      <c r="E49" s="13">
        <v>2026</v>
      </c>
      <c r="F49" s="13">
        <v>2026</v>
      </c>
      <c r="G49" s="13">
        <v>2026</v>
      </c>
      <c r="H49" s="13">
        <v>2026</v>
      </c>
      <c r="I49" s="13">
        <v>2026</v>
      </c>
      <c r="J49" s="13">
        <v>2026</v>
      </c>
      <c r="K49" s="13">
        <v>2026</v>
      </c>
      <c r="L49" s="13">
        <v>2026</v>
      </c>
      <c r="M49" s="13">
        <v>2026</v>
      </c>
      <c r="N49" s="89">
        <v>2026</v>
      </c>
      <c r="O49" s="90"/>
    </row>
    <row r="50" spans="1:21" ht="15.75" customHeight="1" x14ac:dyDescent="0.25">
      <c r="A50" s="68"/>
      <c r="B50" s="511"/>
      <c r="C50" s="176" t="s">
        <v>3</v>
      </c>
      <c r="D50" s="92" t="s">
        <v>4</v>
      </c>
      <c r="E50" s="92" t="s">
        <v>5</v>
      </c>
      <c r="F50" s="92" t="s">
        <v>6</v>
      </c>
      <c r="G50" s="92" t="s">
        <v>7</v>
      </c>
      <c r="H50" s="92" t="s">
        <v>8</v>
      </c>
      <c r="I50" s="92" t="s">
        <v>9</v>
      </c>
      <c r="J50" s="92" t="s">
        <v>10</v>
      </c>
      <c r="K50" s="92" t="s">
        <v>11</v>
      </c>
      <c r="L50" s="92" t="s">
        <v>12</v>
      </c>
      <c r="M50" s="92" t="s">
        <v>13</v>
      </c>
      <c r="N50" s="93" t="s">
        <v>14</v>
      </c>
      <c r="O50" s="94"/>
    </row>
    <row r="51" spans="1:21" ht="15" customHeight="1" x14ac:dyDescent="0.25">
      <c r="B51" s="210" t="s">
        <v>56</v>
      </c>
    </row>
    <row r="52" spans="1:21" ht="15" customHeight="1" x14ac:dyDescent="0.25">
      <c r="B52" s="185" t="s">
        <v>17</v>
      </c>
    </row>
    <row r="53" spans="1:21" ht="6.6" customHeight="1" x14ac:dyDescent="0.25">
      <c r="B53" s="210"/>
    </row>
    <row r="54" spans="1:21" ht="15" customHeight="1" x14ac:dyDescent="0.25">
      <c r="B54" s="210" t="s">
        <v>57</v>
      </c>
    </row>
    <row r="55" spans="1:21" ht="15" customHeight="1" x14ac:dyDescent="0.25">
      <c r="B55" s="185" t="s">
        <v>17</v>
      </c>
    </row>
    <row r="56" spans="1:21" s="132" customFormat="1" ht="6" customHeight="1" x14ac:dyDescent="0.25">
      <c r="B56" s="211"/>
      <c r="E56" s="133"/>
      <c r="U56" s="501"/>
    </row>
    <row r="57" spans="1:21" s="132" customFormat="1" ht="13.5" customHeight="1" x14ac:dyDescent="0.25">
      <c r="B57" s="211" t="s">
        <v>58</v>
      </c>
      <c r="E57" s="133"/>
      <c r="U57" s="501"/>
    </row>
    <row r="58" spans="1:21" s="132" customFormat="1" ht="6" customHeight="1" x14ac:dyDescent="0.25">
      <c r="B58" s="211"/>
      <c r="E58" s="133"/>
      <c r="U58" s="501"/>
    </row>
    <row r="59" spans="1:21" ht="15" customHeight="1" x14ac:dyDescent="0.25">
      <c r="B59" s="212" t="s">
        <v>59</v>
      </c>
      <c r="C59" s="134"/>
      <c r="D59" s="134"/>
      <c r="E59" s="135"/>
    </row>
    <row r="60" spans="1:21" ht="15" customHeight="1" x14ac:dyDescent="0.25">
      <c r="B60" s="212"/>
      <c r="C60" s="136"/>
      <c r="D60" s="136"/>
      <c r="E60" s="135"/>
    </row>
    <row r="61" spans="1:21" ht="15" customHeight="1" x14ac:dyDescent="0.25">
      <c r="B61" s="512" t="s">
        <v>60</v>
      </c>
      <c r="C61" s="513"/>
      <c r="D61" s="513"/>
      <c r="E61" s="513"/>
      <c r="F61" s="513"/>
      <c r="G61" s="513"/>
      <c r="H61" s="513"/>
      <c r="I61" s="513"/>
      <c r="J61" s="513"/>
      <c r="K61" s="513"/>
      <c r="L61" s="513"/>
      <c r="M61" s="513"/>
      <c r="N61" s="514"/>
    </row>
    <row r="62" spans="1:21" ht="15" customHeight="1" x14ac:dyDescent="0.25">
      <c r="B62" s="210" t="s">
        <v>61</v>
      </c>
      <c r="C62" s="137"/>
      <c r="D62" s="137"/>
      <c r="E62" s="138"/>
    </row>
    <row r="63" spans="1:21" ht="15" customHeight="1" x14ac:dyDescent="0.25">
      <c r="B63" s="210"/>
      <c r="C63" s="137"/>
      <c r="D63" s="137"/>
      <c r="E63" s="138"/>
    </row>
    <row r="64" spans="1:21" ht="15" customHeight="1" x14ac:dyDescent="0.25">
      <c r="B64" s="210" t="s">
        <v>62</v>
      </c>
      <c r="C64" s="137"/>
      <c r="D64" s="137"/>
      <c r="E64" s="139"/>
    </row>
    <row r="65" spans="2:5" ht="15" customHeight="1" x14ac:dyDescent="0.25">
      <c r="B65" s="210"/>
      <c r="C65" s="137"/>
      <c r="D65" s="137"/>
      <c r="E65" s="139"/>
    </row>
    <row r="66" spans="2:5" ht="15" customHeight="1" x14ac:dyDescent="0.25">
      <c r="B66" s="210" t="s">
        <v>63</v>
      </c>
    </row>
    <row r="67" spans="2:5" ht="7.5" customHeight="1" x14ac:dyDescent="0.25">
      <c r="B67" s="210"/>
    </row>
    <row r="68" spans="2:5" ht="15" customHeight="1" x14ac:dyDescent="0.25">
      <c r="B68" s="200" t="s">
        <v>64</v>
      </c>
    </row>
  </sheetData>
  <sheetProtection selectLockedCells="1" selectUnlockedCells="1"/>
  <mergeCells count="4">
    <mergeCell ref="B5:B6"/>
    <mergeCell ref="B31:B32"/>
    <mergeCell ref="B49:B50"/>
    <mergeCell ref="B61:N61"/>
  </mergeCells>
  <printOptions horizontalCentered="1" verticalCentered="1" gridLines="1"/>
  <pageMargins left="0.7" right="0.7" top="0.75" bottom="0.75" header="0" footer="0"/>
  <pageSetup paperSize="9" scale="33" pageOrder="overThenDown" orientation="portrait" cellComments="atEnd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B971653741E2F449036CC68343911D4" ma:contentTypeVersion="19" ma:contentTypeDescription="Crear nuevo documento." ma:contentTypeScope="" ma:versionID="b029e8bfa4b9054200638cf208d11754">
  <xsd:schema xmlns:xsd="http://www.w3.org/2001/XMLSchema" xmlns:xs="http://www.w3.org/2001/XMLSchema" xmlns:p="http://schemas.microsoft.com/office/2006/metadata/properties" xmlns:ns2="0c8fe178-5b78-4160-b2c4-847f4faa6833" xmlns:ns3="c59c0f54-58a3-414e-8385-eb80c423ec08" targetNamespace="http://schemas.microsoft.com/office/2006/metadata/properties" ma:root="true" ma:fieldsID="0a8cefae984160fe7bc4f5d415ae22b7" ns2:_="" ns3:_="">
    <xsd:import namespace="0c8fe178-5b78-4160-b2c4-847f4faa6833"/>
    <xsd:import namespace="c59c0f54-58a3-414e-8385-eb80c423ec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8fe178-5b78-4160-b2c4-847f4faa68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568f7396-04aa-4c8e-b43e-a397a0369a8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9c0f54-58a3-414e-8385-eb80c423ec08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cb240cb-7da2-4bbe-a5d7-229adc242371}" ma:internalName="TaxCatchAll" ma:showField="CatchAllData" ma:web="c59c0f54-58a3-414e-8385-eb80c423ec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c8fe178-5b78-4160-b2c4-847f4faa6833">
      <Terms xmlns="http://schemas.microsoft.com/office/infopath/2007/PartnerControls"/>
    </lcf76f155ced4ddcb4097134ff3c332f>
    <TaxCatchAll xmlns="c59c0f54-58a3-414e-8385-eb80c423ec08" xsi:nil="true"/>
  </documentManagement>
</p:properties>
</file>

<file path=customXml/itemProps1.xml><?xml version="1.0" encoding="utf-8"?>
<ds:datastoreItem xmlns:ds="http://schemas.openxmlformats.org/officeDocument/2006/customXml" ds:itemID="{00C33868-F758-4378-855A-C5AFD8BCDE9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AC3A7D-70D0-46CE-B339-3167CAFB3D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8fe178-5b78-4160-b2c4-847f4faa6833"/>
    <ds:schemaRef ds:uri="c59c0f54-58a3-414e-8385-eb80c423ec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2ED22C3-DA71-4BA4-9AF5-6E711F151115}">
  <ds:schemaRefs>
    <ds:schemaRef ds:uri="http://schemas.microsoft.com/office/2006/metadata/properties"/>
    <ds:schemaRef ds:uri="http://schemas.microsoft.com/office/infopath/2007/PartnerControls"/>
    <ds:schemaRef ds:uri="0c8fe178-5b78-4160-b2c4-847f4faa6833"/>
    <ds:schemaRef ds:uri="c59c0f54-58a3-414e-8385-eb80c423ec0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BP 2026</vt:lpstr>
      <vt:lpstr>Template</vt:lpstr>
      <vt:lpstr>Andala</vt:lpstr>
      <vt:lpstr>Arandovo</vt:lpstr>
      <vt:lpstr>Mendrugo</vt:lpstr>
      <vt:lpstr>Mica</vt:lpstr>
      <vt:lpstr>Miia </vt:lpstr>
      <vt:lpstr>CONSOLIDADO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Carmen Lendoiro Boquete</dc:creator>
  <cp:keywords/>
  <dc:description/>
  <cp:lastModifiedBy>Carmen Lendoiro Boquete</cp:lastModifiedBy>
  <cp:revision/>
  <dcterms:created xsi:type="dcterms:W3CDTF">2026-04-24T11:18:36Z</dcterms:created>
  <dcterms:modified xsi:type="dcterms:W3CDTF">2026-06-22T17:08:40Z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0x0101002B971653741E2F449036CC68343911D4</vt:lpwstr>
  </property>
  <property fmtid="{D5CDD505-2E9C-101B-9397-08002B2CF9AE}" pid="3" name="MediaServiceImageTags">
    <vt:lpwstr/>
  </property>
</Properties>
</file>